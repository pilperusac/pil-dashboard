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📋 Instrucciones" sheetId="1" state="visible" r:id="rId3"/>
    <sheet name="📅 Grilla_Contenidos" sheetId="2" state="visible" r:id="rId4"/>
    <sheet name="📊 Grilla_Resumen" sheetId="3" state="visible" r:id="rId5"/>
    <sheet name="📆 Grilla_Vista_Mes" sheetId="4" state="visible" r:id="rId6"/>
    <sheet name="📘 Facebook_KPIs" sheetId="5" state="visible" r:id="rId7"/>
    <sheet name="💼 LinkedIn_KPIs" sheetId="6" state="visible" r:id="rId8"/>
    <sheet name="🌐 Web_Visitas" sheetId="7" state="visible" r:id="rId9"/>
    <sheet name="🔍 GSC_SearchConsole" sheetId="8" state="visible" r:id="rId10"/>
    <sheet name="📊 GA4_Analytics" sheetId="9" state="visible" r:id="rId11"/>
    <sheet name="🔑 GSC_Keywords" sheetId="10" state="visible" r:id="rId12"/>
    <sheet name="📈 Resumen_Ejecutivo" sheetId="11" state="visible" r:id="rId13"/>
  </sheets>
  <definedNames>
    <definedName function="false" hidden="true" localSheetId="9" name="_xlnm._FilterDatabase" vbProcedure="false">'🔑 GSC_Keywords'!$A$3:$G$1591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<sst xmlns="http://schemas.openxmlformats.org/spreadsheetml/2006/main" count="3092" uniqueCount="621">
  <si>
    <t xml:space="preserve">PIL Perú — Base de datos de Marketing Digital</t>
  </si>
  <si>
    <t xml:space="preserve">RESUMEN DEL ARCHIVO</t>
  </si>
  <si>
    <t xml:space="preserve">Hoja</t>
  </si>
  <si>
    <t xml:space="preserve">Contenido</t>
  </si>
  <si>
    <t xml:space="preserve">📋 Instrucciones</t>
  </si>
  <si>
    <t xml:space="preserve">Esta hoja — guía de uso del archivo</t>
  </si>
  <si>
    <t xml:space="preserve">📘 Facebook_KPIs</t>
  </si>
  <si>
    <t xml:space="preserve">Métricas mensuales de Facebook (seguidores, alcance, interacciones, posts)</t>
  </si>
  <si>
    <t xml:space="preserve">💼 LinkedIn_KPIs</t>
  </si>
  <si>
    <t xml:space="preserve">Métricas mensuales de LinkedIn (seguidores, alcance, impresiones, interacciones)</t>
  </si>
  <si>
    <t xml:space="preserve">🌐 Web_Visitas</t>
  </si>
  <si>
    <t xml:space="preserve">Tráfico mensual del sitio web pil.com.pe — histórico 2021 a la fecha</t>
  </si>
  <si>
    <t xml:space="preserve">🔍 GSC_SearchConsole</t>
  </si>
  <si>
    <t xml:space="preserve">Datos mensuales de Google Search Console (clics, impresiones, CTR)</t>
  </si>
  <si>
    <t xml:space="preserve">📊 GA4_Analytics</t>
  </si>
  <si>
    <t xml:space="preserve">Datos mensuales de Google Analytics 4 (usuarios, canales, eventos)</t>
  </si>
  <si>
    <t xml:space="preserve">🔑 GSC_Keywords</t>
  </si>
  <si>
    <t xml:space="preserve">Top keywords por mes (consultas de búsqueda orgánica)</t>
  </si>
  <si>
    <t xml:space="preserve">📈 Resumen_Ejecutivo</t>
  </si>
  <si>
    <t xml:space="preserve">KPIs consolidados automáticos — para copiar a reportes y AppSheet</t>
  </si>
  <si>
    <t xml:space="preserve">📅 Grilla_Contenidos</t>
  </si>
  <si>
    <t xml:space="preserve">Calendario editorial completo 2026 — publicaciones planificadas por fecha, categoría, formato y red social</t>
  </si>
  <si>
    <t xml:space="preserve">📊 Grilla_Resumen</t>
  </si>
  <si>
    <t xml:space="preserve">Distribución de publicaciones 2026 por categoría (totales y porcentajes)</t>
  </si>
  <si>
    <t xml:space="preserve">📆 Grilla_Vista_Mes</t>
  </si>
  <si>
    <t xml:space="preserve">Vista consolidada de publicaciones por mes y categoría — totales mensuales</t>
  </si>
  <si>
    <t xml:space="preserve">INSTRUCCIONES DE USO</t>
  </si>
  <si>
    <t xml:space="preserve">1</t>
  </si>
  <si>
    <t xml:space="preserve">Cada mes, ingresa los datos en las hojas correspondientes (Facebook, LinkedIn, Web, GSC, GA4).</t>
  </si>
  <si>
    <t xml:space="preserve">2</t>
  </si>
  <si>
    <t xml:space="preserve">Los campos en AZUL son ingreso manual. Los campos en VERDE calculan automáticamente.</t>
  </si>
  <si>
    <t xml:space="preserve">3</t>
  </si>
  <si>
    <t xml:space="preserve">La hoja 'Resumen_Ejecutivo' consolida todo automáticamente — no la edites manualmente.</t>
  </si>
  <si>
    <t xml:space="preserve">4</t>
  </si>
  <si>
    <t xml:space="preserve">AppSheet leerá la hoja 'Resumen_Ejecutivo' para mostrar los KPIs en la app.</t>
  </si>
  <si>
    <t xml:space="preserve">5</t>
  </si>
  <si>
    <t xml:space="preserve">No elimines filas ni columnas — AppSheet depende de la estructura fija.</t>
  </si>
  <si>
    <t xml:space="preserve">6</t>
  </si>
  <si>
    <t xml:space="preserve">Las hojas de Grilla (📅 Grilla_Contenidos, 📊 Grilla_Resumen, 📆 Grilla_Vista_Mes) son de planeación editorial. Actualiza el Estado de cada publicación (Pendiente → Publicado) conforme avance la ejecución.</t>
  </si>
  <si>
    <t xml:space="preserve">CONVENCIÓN DE COLORES</t>
  </si>
  <si>
    <t xml:space="preserve">Fondo AZUL claro</t>
  </si>
  <si>
    <t xml:space="preserve">Dato de ingreso manual — ingresa aquí cada mes</t>
  </si>
  <si>
    <t xml:space="preserve">Fondo VERDE claro</t>
  </si>
  <si>
    <t xml:space="preserve">Fórmula automática — no editar</t>
  </si>
  <si>
    <t xml:space="preserve">Fondo GRIS</t>
  </si>
  <si>
    <t xml:space="preserve">Dato no aplica o período sin datos aún</t>
  </si>
  <si>
    <t xml:space="preserve">Última actualización:</t>
  </si>
  <si>
    <t xml:space="preserve">Abril 2026 — Brian Reque Aradiel</t>
  </si>
  <si>
    <t xml:space="preserve">PIL PERÚ SAC – GRILLA DE CONTENIDOS REDES SOCIALES 2026</t>
  </si>
  <si>
    <t xml:space="preserve">N°</t>
  </si>
  <si>
    <t xml:space="preserve">Fecha</t>
  </si>
  <si>
    <t xml:space="preserve">Día</t>
  </si>
  <si>
    <t xml:space="preserve">Semana</t>
  </si>
  <si>
    <t xml:space="preserve">Mes</t>
  </si>
  <si>
    <t xml:space="preserve">Categoría</t>
  </si>
  <si>
    <t xml:space="preserve">Tema / Contenido</t>
  </si>
  <si>
    <t xml:space="preserve">Formato</t>
  </si>
  <si>
    <t xml:space="preserve">Red Social</t>
  </si>
  <si>
    <t xml:space="preserve">Estado</t>
  </si>
  <si>
    <t xml:space="preserve">Responsable</t>
  </si>
  <si>
    <t xml:space="preserve">Observaciones</t>
  </si>
  <si>
    <t xml:space="preserve">── MAYO ──</t>
  </si>
  <si>
    <t xml:space="preserve">2026-05-04</t>
  </si>
  <si>
    <t xml:space="preserve">Lunes</t>
  </si>
  <si>
    <t xml:space="preserve">Sem 1</t>
  </si>
  <si>
    <t xml:space="preserve">Mayo</t>
  </si>
  <si>
    <t xml:space="preserve">Efeméride</t>
  </si>
  <si>
    <t xml:space="preserve">📅 Día de la Madre – Saludamos a todas las madres de PIL Perú</t>
  </si>
  <si>
    <t xml:space="preserve">Imagen + Copy</t>
  </si>
  <si>
    <t xml:space="preserve">LinkedIn / Facebook</t>
  </si>
  <si>
    <t xml:space="preserve">Pendiente</t>
  </si>
  <si>
    <t xml:space="preserve">2026-05-06</t>
  </si>
  <si>
    <t xml:space="preserve">Miércoles</t>
  </si>
  <si>
    <t xml:space="preserve">Actividad PIL</t>
  </si>
  <si>
    <t xml:space="preserve">Capacitación interna: Seguridad eléctrica en campo</t>
  </si>
  <si>
    <t xml:space="preserve">Foto + Copy</t>
  </si>
  <si>
    <t xml:space="preserve">2026-05-08</t>
  </si>
  <si>
    <t xml:space="preserve">Viernes</t>
  </si>
  <si>
    <t xml:space="preserve">Proyecto/Servicio</t>
  </si>
  <si>
    <t xml:space="preserve">Proyecto destacado: Automatización de tableros en planta minera – resultados alcanzados</t>
  </si>
  <si>
    <t xml:space="preserve">Carrusel de imágenes</t>
  </si>
  <si>
    <t xml:space="preserve">2026-05-11</t>
  </si>
  <si>
    <t xml:space="preserve">Sem 2</t>
  </si>
  <si>
    <t xml:space="preserve">📅 Día Internacional de los Trabajadores de la Salud</t>
  </si>
  <si>
    <t xml:space="preserve">2026-05-13</t>
  </si>
  <si>
    <t xml:space="preserve">Visita técnica a cliente del sector oil &amp; gas – reforzando lazos comerciales</t>
  </si>
  <si>
    <t xml:space="preserve">2026-05-15</t>
  </si>
  <si>
    <t xml:space="preserve">Servicio de ingeniería eléctrica industrial: ¿qué incluye y cómo contratarlo?</t>
  </si>
  <si>
    <t xml:space="preserve">Carrusel / Flyer</t>
  </si>
  <si>
    <t xml:space="preserve">2026-05-18</t>
  </si>
  <si>
    <t xml:space="preserve">Sem 3</t>
  </si>
  <si>
    <t xml:space="preserve">Noticia Web</t>
  </si>
  <si>
    <t xml:space="preserve">Telecomunicaciones industriales: cómo integrarlas a tus sistemas de control</t>
  </si>
  <si>
    <t xml:space="preserve">Imagen + Link al artículo</t>
  </si>
  <si>
    <t xml:space="preserve">2026-05-20</t>
  </si>
  <si>
    <t xml:space="preserve">Charla interna: Tendencias en automatización industrial 2026</t>
  </si>
  <si>
    <t xml:space="preserve">2026-05-22</t>
  </si>
  <si>
    <t xml:space="preserve">Caso de éxito: Instalación de sistema SCADA en planta de procesamiento</t>
  </si>
  <si>
    <t xml:space="preserve">Galería / Infografía</t>
  </si>
  <si>
    <t xml:space="preserve">2026-05-25</t>
  </si>
  <si>
    <t xml:space="preserve">Sem 4</t>
  </si>
  <si>
    <t xml:space="preserve">📅 Día de la Educación Técnica – PIL Perú y el valor del conocimiento técnico</t>
  </si>
  <si>
    <t xml:space="preserve">2026-05-27</t>
  </si>
  <si>
    <t xml:space="preserve">Evento de integración de equipos PIL – trabajo en campo y cultura corporativa</t>
  </si>
  <si>
    <t xml:space="preserve">2026-05-29</t>
  </si>
  <si>
    <t xml:space="preserve">Promoción: Asesoría en instrumentación y control – conoce nuestro alcance de servicio</t>
  </si>
  <si>
    <t xml:space="preserve">── JUNIO ──</t>
  </si>
  <si>
    <t xml:space="preserve">2026-06-01</t>
  </si>
  <si>
    <t xml:space="preserve">Junio</t>
  </si>
  <si>
    <t xml:space="preserve">Capacitación técnica: Protocolos de comunicación industrial (Modbus, Profibus, Ethernet IP)</t>
  </si>
  <si>
    <t xml:space="preserve">2026-06-03</t>
  </si>
  <si>
    <t xml:space="preserve">¿Cuánto cuesta un proyecto de automatización industrial en Perú?</t>
  </si>
  <si>
    <t xml:space="preserve">2026-06-05</t>
  </si>
  <si>
    <t xml:space="preserve">📅 Día Mundial del Medio Ambiente – Ingeniería sostenible desde PIL Perú</t>
  </si>
  <si>
    <t xml:space="preserve">2026-06-08</t>
  </si>
  <si>
    <t xml:space="preserve">Proyecto: Instalación de tableros de control en complejo industrial – Lima</t>
  </si>
  <si>
    <t xml:space="preserve">2026-06-10</t>
  </si>
  <si>
    <t xml:space="preserve">Visita a obra: Supervisión de avance en proyecto EPC sector minero</t>
  </si>
  <si>
    <t xml:space="preserve">2026-06-12</t>
  </si>
  <si>
    <t xml:space="preserve">Soluciones llave en mano PIL: desde el diseño hasta la puesta en marcha</t>
  </si>
  <si>
    <t xml:space="preserve">2026-06-15</t>
  </si>
  <si>
    <t xml:space="preserve">Tableros eléctricos industriales: qué especificaciones pedir antes de fabricar</t>
  </si>
  <si>
    <t xml:space="preserve">2026-06-17</t>
  </si>
  <si>
    <t xml:space="preserve">📅 Día del Padre – Reconocemos a los padres del equipo PIL Perú</t>
  </si>
  <si>
    <t xml:space="preserve">2026-06-19</t>
  </si>
  <si>
    <t xml:space="preserve">Reunión de liderazgo PIL 2026: planificación estratégica del segundo semestre</t>
  </si>
  <si>
    <t xml:space="preserve">2026-06-22</t>
  </si>
  <si>
    <t xml:space="preserve">¿Qué es un proyecto llave en mano y cuándo conviene para la industria?</t>
  </si>
  <si>
    <t xml:space="preserve">2026-06-24</t>
  </si>
  <si>
    <t xml:space="preserve">📅 Inti Raymi – Celebramos nuestra identidad cultural peruana</t>
  </si>
  <si>
    <t xml:space="preserve">2026-06-26</t>
  </si>
  <si>
    <t xml:space="preserve">Proyectos EPC en minería: errores al contratar un proveedor</t>
  </si>
  <si>
    <t xml:space="preserve">2026-06-29</t>
  </si>
  <si>
    <t xml:space="preserve">Sem 5</t>
  </si>
  <si>
    <t xml:space="preserve">📅 San Pedro y San Pablo – Festividad nacional</t>
  </si>
  <si>
    <t xml:space="preserve">── JULIO ──</t>
  </si>
  <si>
    <t xml:space="preserve">2026-07-01</t>
  </si>
  <si>
    <t xml:space="preserve">Julio</t>
  </si>
  <si>
    <t xml:space="preserve">Caso de éxito: Proyecto de automatización completado en planta concentradora</t>
  </si>
  <si>
    <t xml:space="preserve">2026-07-03</t>
  </si>
  <si>
    <t xml:space="preserve">Capacitación: Seguridad en trabajos eléctricos bajo norma NFPA 70E</t>
  </si>
  <si>
    <t xml:space="preserve">2026-07-06</t>
  </si>
  <si>
    <t xml:space="preserve">Instrumentación y control en plantas de gas y petróleo: guía práctica</t>
  </si>
  <si>
    <t xml:space="preserve">2026-07-07</t>
  </si>
  <si>
    <t xml:space="preserve">Martes</t>
  </si>
  <si>
    <t xml:space="preserve">SCADA en la industria peruana: qué evaluar antes de implementarlo</t>
  </si>
  <si>
    <t xml:space="preserve">2026-07-08</t>
  </si>
  <si>
    <t xml:space="preserve">Visita técnica a cliente: evaluación de necesidades en infraestructura industrial</t>
  </si>
  <si>
    <t xml:space="preserve">2026-07-10</t>
  </si>
  <si>
    <t xml:space="preserve">📅 Semana Previa a Fiestas Patrias – PIL Perú: ingeniería con orgullo peruano</t>
  </si>
  <si>
    <t xml:space="preserve">2026-07-13</t>
  </si>
  <si>
    <t xml:space="preserve">Portafolio de servicios PIL: Ingeniería eléctrica, automatización y telecomunicaciones</t>
  </si>
  <si>
    <t xml:space="preserve">2026-07-20</t>
  </si>
  <si>
    <t xml:space="preserve">Ingeniería eléctrica industrial: cómo elegir al proveedor correcto</t>
  </si>
  <si>
    <t xml:space="preserve">2026-07-22</t>
  </si>
  <si>
    <t xml:space="preserve">Evento interno PIL: Reconocimiento a colaboradores destacados del primer semestre</t>
  </si>
  <si>
    <t xml:space="preserve">2026-07-24</t>
  </si>
  <si>
    <t xml:space="preserve">📅 Fiestas Patrias – PIL Perú celebra el 205° aniversario de la independencia del Perú</t>
  </si>
  <si>
    <t xml:space="preserve">2026-07-27</t>
  </si>
  <si>
    <t xml:space="preserve">Construcciones industriales llave en mano: qué incluye y qué no</t>
  </si>
  <si>
    <t xml:space="preserve">2026-07-29</t>
  </si>
  <si>
    <t xml:space="preserve">Nuevo contrato adjudicado: Proyecto de instrumentación en planta de gas natural</t>
  </si>
  <si>
    <t xml:space="preserve">2026-07-31</t>
  </si>
  <si>
    <t xml:space="preserve">Cierre de mes: balance de proyectos ejecutados en julio 2026</t>
  </si>
  <si>
    <t xml:space="preserve">── AGOSTO ──</t>
  </si>
  <si>
    <t xml:space="preserve">2026-08-03</t>
  </si>
  <si>
    <t xml:space="preserve">Agosto</t>
  </si>
  <si>
    <t xml:space="preserve">Automatización en minería: beneficios reales y casos de uso en Perú</t>
  </si>
  <si>
    <t xml:space="preserve">2026-08-05</t>
  </si>
  <si>
    <t xml:space="preserve">Capacitación: Mantenimiento preventivo de sistemas de control industrial</t>
  </si>
  <si>
    <t xml:space="preserve">2026-08-07</t>
  </si>
  <si>
    <t xml:space="preserve">Proyecto ejecutado: Modernización de sistema eléctrico en planta industrial – Lima</t>
  </si>
  <si>
    <t xml:space="preserve">2026-08-10</t>
  </si>
  <si>
    <t xml:space="preserve">📅 Día Internacional de los Pueblos Indígenas – PIL Perú y la industria responsable</t>
  </si>
  <si>
    <t xml:space="preserve">2026-08-12</t>
  </si>
  <si>
    <t xml:space="preserve">Visita a proyecto en ejecución: supervisión de montaje de tableros industriales</t>
  </si>
  <si>
    <t xml:space="preserve">2026-08-14</t>
  </si>
  <si>
    <t xml:space="preserve">Servicio destacado: Soporte técnico y mantenimiento eléctrico industrial 24/7</t>
  </si>
  <si>
    <t xml:space="preserve">2026-08-17</t>
  </si>
  <si>
    <t xml:space="preserve">¿Cuándo tercerizar el mantenimiento eléctrico industrial en tu planta?</t>
  </si>
  <si>
    <t xml:space="preserve">2026-08-19</t>
  </si>
  <si>
    <t xml:space="preserve">Evento de integración PIL: confraternidad y cultura de equipo</t>
  </si>
  <si>
    <t xml:space="preserve">2026-08-21</t>
  </si>
  <si>
    <t xml:space="preserve">Caso de éxito: Implementación de red de telecomunicaciones en complejo minero</t>
  </si>
  <si>
    <t xml:space="preserve">2026-08-24</t>
  </si>
  <si>
    <t xml:space="preserve">📅 Día de la Bandera Peruana – PIL Perú: ingeniería hecha con orgullo nacional</t>
  </si>
  <si>
    <t xml:space="preserve">2026-08-26</t>
  </si>
  <si>
    <t xml:space="preserve">Capacitación externa: normas IEC en sistemas de control y automatización</t>
  </si>
  <si>
    <t xml:space="preserve">2026-08-28</t>
  </si>
  <si>
    <t xml:space="preserve">Servicios PIL: Construcciones industriales bajo estándar EPC – ¿qué significa para ti?</t>
  </si>
  <si>
    <t xml:space="preserve">── SEPTIEMBRE ──</t>
  </si>
  <si>
    <t xml:space="preserve">2026-09-02</t>
  </si>
  <si>
    <t xml:space="preserve">Septiembre</t>
  </si>
  <si>
    <t xml:space="preserve">Capacitación interna: Gestión de proyectos bajo metodología PMI</t>
  </si>
  <si>
    <t xml:space="preserve">2026-09-04</t>
  </si>
  <si>
    <t xml:space="preserve">Proyecto destacado: Automatización de subestación eléctrica en sector industrial</t>
  </si>
  <si>
    <t xml:space="preserve">2026-09-07</t>
  </si>
  <si>
    <t xml:space="preserve">📅 Día del Ingeniero Peruano – PIL Perú reconoce el talento técnico nacional</t>
  </si>
  <si>
    <t xml:space="preserve">2026-09-09</t>
  </si>
  <si>
    <t xml:space="preserve">Visita técnica a cliente: evaluación de sistemas SCADA existentes para upgrade</t>
  </si>
  <si>
    <t xml:space="preserve">2026-09-11</t>
  </si>
  <si>
    <t xml:space="preserve">Servicio: Ingeniería de detalle para proyectos de instrumentación y control</t>
  </si>
  <si>
    <t xml:space="preserve">2026-09-14</t>
  </si>
  <si>
    <t xml:space="preserve">📅 Semana de la Prevención de Accidentes – Seguridad primero en PIL Perú</t>
  </si>
  <si>
    <t xml:space="preserve">2026-09-16</t>
  </si>
  <si>
    <t xml:space="preserve">Evento PIL: Seminario de actualización tecnológica para el equipo técnico</t>
  </si>
  <si>
    <t xml:space="preserve">2026-09-18</t>
  </si>
  <si>
    <t xml:space="preserve">Caso de éxito: Proyecto llave en mano en planta de tratamiento de agua industrial</t>
  </si>
  <si>
    <t xml:space="preserve">2026-09-21</t>
  </si>
  <si>
    <t xml:space="preserve">📅 Día Internacional de la Paz – PIL Perú: construyendo con responsabilidad social</t>
  </si>
  <si>
    <t xml:space="preserve">2026-09-23</t>
  </si>
  <si>
    <t xml:space="preserve">Capacitación: Nuevas tecnologías en sistemas de telecomunicaciones industriales</t>
  </si>
  <si>
    <t xml:space="preserve">2026-09-25</t>
  </si>
  <si>
    <t xml:space="preserve">Portafolio PIL: Proyectos en sectores minería, oil &amp; gas e industria manufacturera</t>
  </si>
  <si>
    <t xml:space="preserve">2026-09-28</t>
  </si>
  <si>
    <t xml:space="preserve">Balance del mes: logros, proyectos y aprendizajes del equipo PIL – Septiembre 2026</t>
  </si>
  <si>
    <t xml:space="preserve">── OCTUBRE ──</t>
  </si>
  <si>
    <t xml:space="preserve">2026-10-02</t>
  </si>
  <si>
    <t xml:space="preserve">Octubre</t>
  </si>
  <si>
    <t xml:space="preserve">📅 Día de los Animales – PIL Perú y el compromiso con el entorno</t>
  </si>
  <si>
    <t xml:space="preserve">2026-10-05</t>
  </si>
  <si>
    <t xml:space="preserve">Proyecto ejecutado: Instalación de sistema de control PLC en planta de concentrados</t>
  </si>
  <si>
    <t xml:space="preserve">2026-10-07</t>
  </si>
  <si>
    <t xml:space="preserve">📅 Aniversario Batalla de Angamos – Orgullo peruano desde PIL Perú</t>
  </si>
  <si>
    <t xml:space="preserve">2026-10-09</t>
  </si>
  <si>
    <t xml:space="preserve">Capacitación: Fundamentos de redes industriales y ciberseguridad OT</t>
  </si>
  <si>
    <t xml:space="preserve">2026-10-12</t>
  </si>
  <si>
    <t xml:space="preserve">Servicio PIL: ¿Cómo abordamos un proyecto EPC desde la ingeniería básica?</t>
  </si>
  <si>
    <t xml:space="preserve">2026-10-14</t>
  </si>
  <si>
    <t xml:space="preserve">Visita a proyecto: Supervisión de pruebas FAT en tableros de media tensión</t>
  </si>
  <si>
    <t xml:space="preserve">2026-10-16</t>
  </si>
  <si>
    <t xml:space="preserve">📅 Día Mundial de la Alimentación – PIL Perú en proyectos del sector agroindustrial</t>
  </si>
  <si>
    <t xml:space="preserve">2026-10-19</t>
  </si>
  <si>
    <t xml:space="preserve">Nuevo proyecto adjudicado: Sistema de instrumentación en planta petroquímica</t>
  </si>
  <si>
    <t xml:space="preserve">2026-10-21</t>
  </si>
  <si>
    <t xml:space="preserve">Evento: Participación de PIL Perú en feria de proveedores industriales</t>
  </si>
  <si>
    <t xml:space="preserve">2026-10-23</t>
  </si>
  <si>
    <t xml:space="preserve">Caso de éxito: Proyecto de telecomunicaciones en mina subterránea</t>
  </si>
  <si>
    <t xml:space="preserve">2026-10-28</t>
  </si>
  <si>
    <t xml:space="preserve">Capacitación técnica: Actualización en normativas eléctricas CNE-Perú 2026</t>
  </si>
  <si>
    <t xml:space="preserve">2026-10-30</t>
  </si>
  <si>
    <t xml:space="preserve">📅 Víspera de Todos los Santos – Mensaje corporativo de PIL Perú</t>
  </si>
  <si>
    <t xml:space="preserve">── NOVIEMBRE ──</t>
  </si>
  <si>
    <t xml:space="preserve">2026-11-02</t>
  </si>
  <si>
    <t xml:space="preserve">Noviembre</t>
  </si>
  <si>
    <t xml:space="preserve">Proyecto PIL: Instalación de sistema de videovigilancia industrial IP en planta minera</t>
  </si>
  <si>
    <t xml:space="preserve">2026-11-04</t>
  </si>
  <si>
    <t xml:space="preserve">Capacitación: Manejo seguro de equipos de alta tensión – equipo técnico PIL</t>
  </si>
  <si>
    <t xml:space="preserve">2026-11-06</t>
  </si>
  <si>
    <t xml:space="preserve">📅 Semana de la Ciencia y Tecnología – PIL Perú: innovación al servicio de la industria</t>
  </si>
  <si>
    <t xml:space="preserve">2026-11-09</t>
  </si>
  <si>
    <t xml:space="preserve">Servicio: Auditoría de sistemas eléctricos industriales – previene antes que corregir</t>
  </si>
  <si>
    <t xml:space="preserve">2026-11-11</t>
  </si>
  <si>
    <t xml:space="preserve">Visita a obra: Avance del proyecto de automatización en complejo industrial costero</t>
  </si>
  <si>
    <t xml:space="preserve">2026-11-13</t>
  </si>
  <si>
    <t xml:space="preserve">📅 Día de la Lealtad – Valores que guían al equipo PIL Perú</t>
  </si>
  <si>
    <t xml:space="preserve">2026-11-16</t>
  </si>
  <si>
    <t xml:space="preserve">Proyecto destacado: Red de fibra óptica industrial para complejo minero en Cusco</t>
  </si>
  <si>
    <t xml:space="preserve">2026-11-18</t>
  </si>
  <si>
    <t xml:space="preserve">Evento: Reunión anual de planificación estratégica PIL Perú 2027</t>
  </si>
  <si>
    <t xml:space="preserve">2026-11-20</t>
  </si>
  <si>
    <t xml:space="preserve">📅 Día Universal del Niño – PIL Perú con responsabilidad social empresarial</t>
  </si>
  <si>
    <t xml:space="preserve">2026-11-23</t>
  </si>
  <si>
    <t xml:space="preserve">Servicio PIL: Construcción de salas eléctricas bajo estándar IEC – casos ejecutados</t>
  </si>
  <si>
    <t xml:space="preserve">2026-11-25</t>
  </si>
  <si>
    <t xml:space="preserve">Capacitación final del año: Gestión de activos y confiabilidad industrial</t>
  </si>
  <si>
    <t xml:space="preserve">2026-11-27</t>
  </si>
  <si>
    <t xml:space="preserve">📅 Día de la Solidaridad – PIL Perú: comprometidos con las comunidades donde operamos</t>
  </si>
  <si>
    <t xml:space="preserve">── DICIEMBRE ──</t>
  </si>
  <si>
    <t xml:space="preserve">2026-12-02</t>
  </si>
  <si>
    <t xml:space="preserve">Diciembre</t>
  </si>
  <si>
    <t xml:space="preserve">Balance de proyectos 2026: lo que logramos este año en ingeniería e innovación</t>
  </si>
  <si>
    <t xml:space="preserve">2026-12-04</t>
  </si>
  <si>
    <t xml:space="preserve">Evento de cierre de año PIL Perú: celebrando los logros del equipo</t>
  </si>
  <si>
    <t xml:space="preserve">2026-12-07</t>
  </si>
  <si>
    <t xml:space="preserve">📅 Día de la Inmaculada Concepción – Mensaje de PIL Perú</t>
  </si>
  <si>
    <t xml:space="preserve">2026-12-09</t>
  </si>
  <si>
    <t xml:space="preserve">📅 Batalla de Ayacucho – 202° aniversario de la independencia latinoamericana</t>
  </si>
  <si>
    <t xml:space="preserve">2026-12-11</t>
  </si>
  <si>
    <t xml:space="preserve">Proyecciones 2027: ¿En qué sectores continuará creciendo PIL Perú?</t>
  </si>
  <si>
    <t xml:space="preserve">2026-12-14</t>
  </si>
  <si>
    <t xml:space="preserve">Reconocimiento interno: colaboradores del año PIL Perú 2026</t>
  </si>
  <si>
    <t xml:space="preserve">2026-12-16</t>
  </si>
  <si>
    <t xml:space="preserve">Servicio de consultoría PIL: acompañamos tu proyecto desde la idea hasta la operación</t>
  </si>
  <si>
    <t xml:space="preserve">2026-12-18</t>
  </si>
  <si>
    <t xml:space="preserve">PIL Perú en números 2026: proyectos, clientes y crecimiento del equipo</t>
  </si>
  <si>
    <t xml:space="preserve">Infografía</t>
  </si>
  <si>
    <t xml:space="preserve">2026-12-21</t>
  </si>
  <si>
    <t xml:space="preserve">📅 Inicio del Verano – Mensaje de bienestar del equipo PIL Perú</t>
  </si>
  <si>
    <t xml:space="preserve">2026-12-23</t>
  </si>
  <si>
    <t xml:space="preserve">Mensaje de Navidad PIL Perú: gracias a clientes, socios y colaboradores</t>
  </si>
  <si>
    <t xml:space="preserve">Video / Imagen + Copy</t>
  </si>
  <si>
    <t xml:space="preserve">2026-12-25</t>
  </si>
  <si>
    <t xml:space="preserve">📅 Navidad – Felices Fiestas desde PIL Perú</t>
  </si>
  <si>
    <t xml:space="preserve">2026-12-30</t>
  </si>
  <si>
    <t xml:space="preserve">Despedida de año: PIL Perú agradece y se proyecta al 2027 con fuerza</t>
  </si>
  <si>
    <t xml:space="preserve">PIL PERÚ SAC – RESUMEN DE GRILLA DE CONTENIDOS 2026</t>
  </si>
  <si>
    <t xml:space="preserve">Período: Mayo – Diciembre 2026</t>
  </si>
  <si>
    <t xml:space="preserve">DISTRIBUCIÓN POR CATEGORÍA</t>
  </si>
  <si>
    <t xml:space="preserve"># Publicaciones</t>
  </si>
  <si>
    <t xml:space="preserve">% del Total</t>
  </si>
  <si>
    <t xml:space="preserve">Color</t>
  </si>
  <si>
    <t xml:space="preserve">33.7%</t>
  </si>
  <si>
    <t xml:space="preserve">28.6%</t>
  </si>
  <si>
    <t xml:space="preserve">26.5%</t>
  </si>
  <si>
    <t xml:space="preserve">11.2%</t>
  </si>
  <si>
    <t xml:space="preserve">TOTAL</t>
  </si>
  <si>
    <t xml:space="preserve">100%</t>
  </si>
  <si>
    <t xml:space="preserve">LEYENDA DE ESTADOS</t>
  </si>
  <si>
    <t xml:space="preserve">En proceso</t>
  </si>
  <si>
    <t xml:space="preserve">Aprobado</t>
  </si>
  <si>
    <t xml:space="preserve">Publicado</t>
  </si>
  <si>
    <t xml:space="preserve">Cancelado</t>
  </si>
  <si>
    <t xml:space="preserve">PUBLICACIONES POR MES – PIL PERÚ 2026</t>
  </si>
  <si>
    <t xml:space="preserve">Contenido Corporativo</t>
  </si>
  <si>
    <t xml:space="preserve">Promoción de Servicio</t>
  </si>
  <si>
    <t xml:space="preserve">Total</t>
  </si>
  <si>
    <t xml:space="preserve">PIL Perú — KPIs Facebook</t>
  </si>
  <si>
    <t xml:space="preserve">Benchmark: Alcance ≥ 18% de seguidores | Interacción ≥ 7.5%    —    Azul = ingreso manual | Verde = fórmula automática</t>
  </si>
  <si>
    <t xml:space="preserve">Año</t>
  </si>
  <si>
    <t xml:space="preserve">Seguidores
Totales</t>
  </si>
  <si>
    <t xml:space="preserve">Impresiones</t>
  </si>
  <si>
    <t xml:space="preserve">Alcance</t>
  </si>
  <si>
    <t xml:space="preserve">Interacciones</t>
  </si>
  <si>
    <t xml:space="preserve">Nuevos
Seguidores</t>
  </si>
  <si>
    <t xml:space="preserve">Posts
Publicados</t>
  </si>
  <si>
    <t xml:space="preserve">% Alcance
(Alc/Seg)</t>
  </si>
  <si>
    <t xml:space="preserve">% Interacción
(Int/Alc)</t>
  </si>
  <si>
    <t xml:space="preserve">Estado
Alcance</t>
  </si>
  <si>
    <t xml:space="preserve">Estado
Interacción</t>
  </si>
  <si>
    <t xml:space="preserve">Enero</t>
  </si>
  <si>
    <t xml:space="preserve">Febrero</t>
  </si>
  <si>
    <t xml:space="preserve">Marzo</t>
  </si>
  <si>
    <t xml:space="preserve">Abril</t>
  </si>
  <si>
    <t xml:space="preserve">Setiembre</t>
  </si>
  <si>
    <t xml:space="preserve">PIL Perú — KPIs LinkedIn</t>
  </si>
  <si>
    <t xml:space="preserve">Benchmark: Alcance ≥ 18% de seguidores | Interacción ≥ 7.5% (Impresiones/Interacciones)    —    Azul = ingreso manual | Verde = fórmula</t>
  </si>
  <si>
    <t xml:space="preserve">% Interacción
(Int/Imp)</t>
  </si>
  <si>
    <t xml:space="preserve">PIL Perú — Tráfico Web · pil.com.pe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</si>
  <si>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</si>
  <si>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</si>
  <si>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</si>
  <si>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</si>
  <si>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</si>
  <si>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</si>
  <si>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Var. 2026
vs 2025</t>
  </si>
  <si>
    <t xml:space="preserve">Mejor
Año</t>
  </si>
  <si>
    <t xml:space="preserve">PIL Perú — Google Search Console · pil.com.pe</t>
  </si>
  <si>
    <t xml:space="preserve">Clics
Orgánicos</t>
  </si>
  <si>
    <t xml:space="preserve">Impresiones
GSC</t>
  </si>
  <si>
    <t xml:space="preserve">CTR
(%)</t>
  </si>
  <si>
    <t xml:space="preserve">Posición
Media</t>
  </si>
  <si>
    <t xml:space="preserve">Nota / Observación</t>
  </si>
  <si>
    <t xml:space="preserve">Posición 1.47 para 'pil peru'</t>
  </si>
  <si>
    <t xml:space="preserve">PIL Perú — Google Analytics 4 · pil.com.pe</t>
  </si>
  <si>
    <t xml:space="preserve">Usuarios
Totales</t>
  </si>
  <si>
    <t xml:space="preserve">Usuarios
Nuevos</t>
  </si>
  <si>
    <t xml:space="preserve">Usuarios
Recurrentes</t>
  </si>
  <si>
    <t xml:space="preserve">% Nuevos</t>
  </si>
  <si>
    <t xml:space="preserve">T. Interacción
(seg)</t>
  </si>
  <si>
    <t xml:space="preserve">Sesiones /
Usuario</t>
  </si>
  <si>
    <t xml:space="preserve">Eventos
Totales</t>
  </si>
  <si>
    <t xml:space="preserve">Organic
Search %</t>
  </si>
  <si>
    <t xml:space="preserve">Usuarios
Organic Search</t>
  </si>
  <si>
    <t xml:space="preserve">CONVERSIONES GA4 — Ingreso manual · Fuente: GA4 → Informes → Eventos</t>
  </si>
  <si>
    <t xml:space="preserve">WhatsApp
Click (eventos)</t>
  </si>
  <si>
    <t xml:space="preserve">WhatsApp
Click (usuarios)</t>
  </si>
  <si>
    <t xml:space="preserve">Email
Click (eventos)</t>
  </si>
  <si>
    <t xml:space="preserve">Email
Click (usuarios)</t>
  </si>
  <si>
    <t xml:space="preserve">Generate
Lead (eventos)</t>
  </si>
  <si>
    <t xml:space="preserve">Generate
Lead (usuarios)</t>
  </si>
  <si>
    <t xml:space="preserve">File
Download (eventos)</t>
  </si>
  <si>
    <t xml:space="preserve">File
Download (usuarios)</t>
  </si>
  <si>
    <t xml:space="preserve">Tasa Lead
Real (auto)</t>
  </si>
  <si>
    <t xml:space="preserve">PIL Perú — Top Keywords Google Search Console (Top 20 por mes)</t>
  </si>
  <si>
    <t xml:space="preserve">Ingresa hasta 20 keywords por mes · Azul = ingreso manual · Usa el filtro de Año y Mes para navegar</t>
  </si>
  <si>
    <t xml:space="preserve">Consulta de Búsqueda</t>
  </si>
  <si>
    <t xml:space="preserve">Clics</t>
  </si>
  <si>
    <t xml:space="preserve">CTR (%)</t>
  </si>
  <si>
    <t xml:space="preserve">Posición Media</t>
  </si>
  <si>
    <t xml:space="preserve">── Enero 2021 ──  (ingresa hasta 20 keywords)</t>
  </si>
  <si>
    <t xml:space="preserve">── Febrero 2021 ──  (ingresa hasta 20 keywords)</t>
  </si>
  <si>
    <t xml:space="preserve">── Marzo 2021 ──  (ingresa hasta 20 keywords)</t>
  </si>
  <si>
    <t xml:space="preserve">── Abril 2021 ──  (ingresa hasta 20 keywords)</t>
  </si>
  <si>
    <t xml:space="preserve">── Mayo 2021 ──  (ingresa hasta 20 keywords)</t>
  </si>
  <si>
    <t xml:space="preserve">── Junio 2021 ──  (ingresa hasta 20 keywords)</t>
  </si>
  <si>
    <t xml:space="preserve">── Julio 2021 ──  (ingresa hasta 20 keywords)</t>
  </si>
  <si>
    <t xml:space="preserve">── Agosto 2021 ──  (ingresa hasta 20 keywords)</t>
  </si>
  <si>
    <t xml:space="preserve">── Setiembre 2021 ──  (ingresa hasta 20 keywords)</t>
  </si>
  <si>
    <t xml:space="preserve">── Octubre 2021 ──  (ingresa hasta 20 keywords)</t>
  </si>
  <si>
    <t xml:space="preserve">── Noviembre 2021 ──  (ingresa hasta 20 keywords)</t>
  </si>
  <si>
    <t xml:space="preserve">── Diciembre 2021 ──  (ingresa hasta 20 keywords)</t>
  </si>
  <si>
    <t xml:space="preserve">── Enero 2022 ──  (ingresa hasta 20 keywords)</t>
  </si>
  <si>
    <t xml:space="preserve">── Febrero 2022 ──  (ingresa hasta 20 keywords)</t>
  </si>
  <si>
    <t xml:space="preserve">── Marzo 2022 ──  (ingresa hasta 20 keywords)</t>
  </si>
  <si>
    <t xml:space="preserve">── Abril 2022 ──  (ingresa hasta 20 keywords)</t>
  </si>
  <si>
    <t xml:space="preserve">── Mayo 2022 ──  (ingresa hasta 20 keywords)</t>
  </si>
  <si>
    <t xml:space="preserve">── Junio 2022 ──  (ingresa hasta 20 keywords)</t>
  </si>
  <si>
    <t xml:space="preserve">── Julio 2022 ──  (ingresa hasta 20 keywords)</t>
  </si>
  <si>
    <t xml:space="preserve">── Agosto 2022 ──  (ingresa hasta 20 keywords)</t>
  </si>
  <si>
    <t xml:space="preserve">── Setiembre 2022 ──  (ingresa hasta 20 keywords)</t>
  </si>
  <si>
    <t xml:space="preserve">── Octubre 2022 ──  (ingresa hasta 20 keywords)</t>
  </si>
  <si>
    <t xml:space="preserve">── Noviembre 2022 ──  (ingresa hasta 20 keywords)</t>
  </si>
  <si>
    <t xml:space="preserve">── Diciembre 2022 ──  (ingresa hasta 20 keywords)</t>
  </si>
  <si>
    <t xml:space="preserve">── Enero 2023 ──  (ingresa hasta 20 keywords)</t>
  </si>
  <si>
    <t xml:space="preserve">── Febrero 2023 ──  (ingresa hasta 20 keywords)</t>
  </si>
  <si>
    <t xml:space="preserve">── Marzo 2023 ──  (ingresa hasta 20 keywords)</t>
  </si>
  <si>
    <t xml:space="preserve">── Abril 2023 ──  (ingresa hasta 20 keywords)</t>
  </si>
  <si>
    <t xml:space="preserve">── Mayo 2023 ──  (ingresa hasta 20 keywords)</t>
  </si>
  <si>
    <t xml:space="preserve">── Junio 2023 ──  (ingresa hasta 20 keywords)</t>
  </si>
  <si>
    <t xml:space="preserve">── Julio 2023 ──  (ingresa hasta 20 keywords)</t>
  </si>
  <si>
    <t xml:space="preserve">── Agosto 2023 ──  (ingresa hasta 20 keywords)</t>
  </si>
  <si>
    <t xml:space="preserve">── Setiembre 2023 ──  (ingresa hasta 20 keywords)</t>
  </si>
  <si>
    <t xml:space="preserve">── Octubre 2023 ──  (ingresa hasta 20 keywords)</t>
  </si>
  <si>
    <t xml:space="preserve">── Noviembre 2023 ──  (ingresa hasta 20 keywords)</t>
  </si>
  <si>
    <t xml:space="preserve">── Diciembre 2023 ──  (ingresa hasta 20 keywords)</t>
  </si>
  <si>
    <t xml:space="preserve">── Enero 2024 ──  (ingresa hasta 20 keywords)</t>
  </si>
  <si>
    <t xml:space="preserve">── Febrero 2024 ──  (ingresa hasta 20 keywords)</t>
  </si>
  <si>
    <t xml:space="preserve">── Marzo 2024 ──  (ingresa hasta 20 keywords)</t>
  </si>
  <si>
    <t xml:space="preserve">── Abril 2024 ──  (ingresa hasta 20 keywords)</t>
  </si>
  <si>
    <t xml:space="preserve">── Mayo 2024 ──  (ingresa hasta 20 keywords)</t>
  </si>
  <si>
    <t xml:space="preserve">── Junio 2024 ──  (ingresa hasta 20 keywords)</t>
  </si>
  <si>
    <t xml:space="preserve">── Julio 2024 ──  (ingresa hasta 20 keywords)</t>
  </si>
  <si>
    <t xml:space="preserve">── Agosto 2024 ──  (ingresa hasta 20 keywords)</t>
  </si>
  <si>
    <t xml:space="preserve">── Setiembre 2024 ──  (ingresa hasta 20 keywords)</t>
  </si>
  <si>
    <t xml:space="preserve">── Octubre 2024 ──  (ingresa hasta 20 keywords)</t>
  </si>
  <si>
    <t xml:space="preserve">── Noviembre 2024 ──  (ingresa hasta 20 keywords)</t>
  </si>
  <si>
    <t xml:space="preserve">── Diciembre 2024 ──  (ingresa hasta 20 keywords)</t>
  </si>
  <si>
    <t xml:space="preserve">── Enero 2025 ──  (ingresa hasta 20 keywords)</t>
  </si>
  <si>
    <t xml:space="preserve">── Febrero 2025 ──  (ingresa hasta 20 keywords)</t>
  </si>
  <si>
    <t xml:space="preserve">── Marzo 2025 ──  (ingresa hasta 20 keywords)</t>
  </si>
  <si>
    <t xml:space="preserve">── Abril 2025 ──  (ingresa hasta 20 keywords)</t>
  </si>
  <si>
    <t xml:space="preserve">── Mayo 2025 ──  (ingresa hasta 20 keywords)</t>
  </si>
  <si>
    <t xml:space="preserve">── Junio 2025 ──  (ingresa hasta 20 keywords)</t>
  </si>
  <si>
    <t xml:space="preserve">── Julio 2025 ──  (ingresa hasta 20 keywords)</t>
  </si>
  <si>
    <t xml:space="preserve">── Agosto 2025 ──  (ingresa hasta 20 keywords)</t>
  </si>
  <si>
    <t xml:space="preserve">── Setiembre 2025 ──  (ingresa hasta 20 keywords)</t>
  </si>
  <si>
    <t xml:space="preserve">── Octubre 2025 ──  (ingresa hasta 20 keywords)</t>
  </si>
  <si>
    <t xml:space="preserve">── Noviembre 2025 ──  (ingresa hasta 20 keywords)</t>
  </si>
  <si>
    <t xml:space="preserve">── Diciembre 2025 ──  (ingresa hasta 20 keywords)</t>
  </si>
  <si>
    <t xml:space="preserve">── Enero 2026 ──  (ingresa hasta 20 keywords)</t>
  </si>
  <si>
    <t xml:space="preserve">── Febrero 2026 ──  (ingresa hasta 20 keywords)</t>
  </si>
  <si>
    <t xml:space="preserve">── Marzo 2026 ──  (ingresa hasta 20 keywords)</t>
  </si>
  <si>
    <t xml:space="preserve">── Abril 2026 ──  (ingresa hasta 20 keywords)</t>
  </si>
  <si>
    <t xml:space="preserve">pil peru</t>
  </si>
  <si>
    <t xml:space="preserve">pil peru sac</t>
  </si>
  <si>
    <t xml:space="preserve">pil</t>
  </si>
  <si>
    <t xml:space="preserve">pil perú</t>
  </si>
  <si>
    <t xml:space="preserve">pil peru s.a.c.</t>
  </si>
  <si>
    <t xml:space="preserve">empresa pil</t>
  </si>
  <si>
    <t xml:space="preserve">pil automation</t>
  </si>
  <si>
    <t xml:space="preserve">pil empresa</t>
  </si>
  <si>
    <t xml:space="preserve">pil peru ruc</t>
  </si>
  <si>
    <t xml:space="preserve">pil numero de telefono</t>
  </si>
  <si>
    <t xml:space="preserve">empresas de electricidad industrial</t>
  </si>
  <si>
    <t xml:space="preserve">pacific international lines peru s.a.c.</t>
  </si>
  <si>
    <t xml:space="preserve">pilcorp</t>
  </si>
  <si>
    <t xml:space="preserve">pilautomation</t>
  </si>
  <si>
    <t xml:space="preserve">sigpol</t>
  </si>
  <si>
    <t xml:space="preserve">pil en lima</t>
  </si>
  <si>
    <t xml:space="preserve">pil lima</t>
  </si>
  <si>
    <t xml:space="preserve">pil lima 2026</t>
  </si>
  <si>
    <t xml:space="preserve">servicios de automatización</t>
  </si>
  <si>
    <t xml:space="preserve">endress hauser peru</t>
  </si>
  <si>
    <t xml:space="preserve">── Mayo 2026 ──  (ingresa hasta 20 keywords)</t>
  </si>
  <si>
    <t xml:space="preserve">pil proctek group company</t>
  </si>
  <si>
    <t xml:space="preserve">pil ruc</t>
  </si>
  <si>
    <t xml:space="preserve">proctek</t>
  </si>
  <si>
    <t xml:space="preserve">la pil</t>
  </si>
  <si>
    <t xml:space="preserve">servicios de ingeniería</t>
  </si>
  <si>
    <t xml:space="preserve">pil telefono</t>
  </si>
  <si>
    <t xml:space="preserve">logo pil</t>
  </si>
  <si>
    <t xml:space="preserve">pil trabaja con nosotros</t>
  </si>
  <si>
    <t xml:space="preserve">empresas ingenieria industrial</t>
  </si>
  <si>
    <t xml:space="preserve">── Junio 2026 ──  (ingresa hasta 20 keywords)</t>
  </si>
  <si>
    <t xml:space="preserve">── Para agregar nuevos meses: copia el bloque de 20 filas anterior, pégalo aquí y cambia Año y Mes ──</t>
  </si>
  <si>
    <t xml:space="preserve">PIL Perú — Resumen Ejecutivo de KPIs | AppSheet-ready · No editar manualmente</t>
  </si>
  <si>
    <t xml:space="preserve">Esta hoja consolida automáticamente los datos de las otras hojas. AppSheet leerá directamente desde aquí.</t>
  </si>
  <si>
    <t xml:space="preserve">ID_Registro</t>
  </si>
  <si>
    <t xml:space="preserve">Plataforma</t>
  </si>
  <si>
    <t xml:space="preserve">Seguidores</t>
  </si>
  <si>
    <t xml:space="preserve">Nuevos_Seg</t>
  </si>
  <si>
    <t xml:space="preserve">Posts</t>
  </si>
  <si>
    <t xml:space="preserve">Pct_Alcance</t>
  </si>
  <si>
    <t xml:space="preserve">Pct_Interaccion</t>
  </si>
  <si>
    <t xml:space="preserve">Estado_Alcance</t>
  </si>
  <si>
    <t xml:space="preserve">Estado_Interaccion</t>
  </si>
  <si>
    <t xml:space="preserve">2021_Ene_Fa</t>
  </si>
  <si>
    <t xml:space="preserve">Facebook</t>
  </si>
  <si>
    <t xml:space="preserve">2021_Feb_Fa</t>
  </si>
  <si>
    <t xml:space="preserve">2021_Mar_Fa</t>
  </si>
  <si>
    <t xml:space="preserve">2021_Abr_Fa</t>
  </si>
  <si>
    <t xml:space="preserve">2021_May_Fa</t>
  </si>
  <si>
    <t xml:space="preserve">2021_Jun_Fa</t>
  </si>
  <si>
    <t xml:space="preserve">2021_Jul_Fa</t>
  </si>
  <si>
    <t xml:space="preserve">2021_Ago_Fa</t>
  </si>
  <si>
    <t xml:space="preserve">2021_Set_Fa</t>
  </si>
  <si>
    <t xml:space="preserve">2021_Oct_Fa</t>
  </si>
  <si>
    <t xml:space="preserve">2021_Nov_Fa</t>
  </si>
  <si>
    <t xml:space="preserve">2021_Dic_Fa</t>
  </si>
  <si>
    <t xml:space="preserve">2022_Ene_Fa</t>
  </si>
  <si>
    <t xml:space="preserve">2022_Feb_Fa</t>
  </si>
  <si>
    <t xml:space="preserve">2022_Mar_Fa</t>
  </si>
  <si>
    <t xml:space="preserve">2022_Abr_Fa</t>
  </si>
  <si>
    <t xml:space="preserve">2022_May_Fa</t>
  </si>
  <si>
    <t xml:space="preserve">2022_Jun_Fa</t>
  </si>
  <si>
    <t xml:space="preserve">2022_Jul_Fa</t>
  </si>
  <si>
    <t xml:space="preserve">2022_Ago_Fa</t>
  </si>
  <si>
    <t xml:space="preserve">2022_Set_Fa</t>
  </si>
  <si>
    <t xml:space="preserve">2022_Oct_Fa</t>
  </si>
  <si>
    <t xml:space="preserve">2022_Nov_Fa</t>
  </si>
  <si>
    <t xml:space="preserve">2022_Dic_Fa</t>
  </si>
  <si>
    <t xml:space="preserve">2023_Ene_Fa</t>
  </si>
  <si>
    <t xml:space="preserve">2023_Feb_Fa</t>
  </si>
  <si>
    <t xml:space="preserve">2023_Mar_Fa</t>
  </si>
  <si>
    <t xml:space="preserve">2023_Abr_Fa</t>
  </si>
  <si>
    <t xml:space="preserve">2023_May_Fa</t>
  </si>
  <si>
    <t xml:space="preserve">2023_Jun_Fa</t>
  </si>
  <si>
    <t xml:space="preserve">2023_Jul_Fa</t>
  </si>
  <si>
    <t xml:space="preserve">2023_Ago_Fa</t>
  </si>
  <si>
    <t xml:space="preserve">2023_Set_Fa</t>
  </si>
  <si>
    <t xml:space="preserve">2023_Oct_Fa</t>
  </si>
  <si>
    <t xml:space="preserve">2023_Nov_Fa</t>
  </si>
  <si>
    <t xml:space="preserve">2023_Dic_Fa</t>
  </si>
  <si>
    <t xml:space="preserve">2024_Ene_Fa</t>
  </si>
  <si>
    <t xml:space="preserve">2024_Feb_Fa</t>
  </si>
  <si>
    <t xml:space="preserve">2024_Mar_Fa</t>
  </si>
  <si>
    <t xml:space="preserve">2024_Abr_Fa</t>
  </si>
  <si>
    <t xml:space="preserve">2024_May_Fa</t>
  </si>
  <si>
    <t xml:space="preserve">2024_Jun_Fa</t>
  </si>
  <si>
    <t xml:space="preserve">2024_Jul_Fa</t>
  </si>
  <si>
    <t xml:space="preserve">2024_Ago_Fa</t>
  </si>
  <si>
    <t xml:space="preserve">2024_Set_Fa</t>
  </si>
  <si>
    <t xml:space="preserve">2024_Oct_Fa</t>
  </si>
  <si>
    <t xml:space="preserve">2024_Nov_Fa</t>
  </si>
  <si>
    <t xml:space="preserve">2024_Dic_Fa</t>
  </si>
  <si>
    <t xml:space="preserve">2025_Ene_Fa</t>
  </si>
  <si>
    <t xml:space="preserve">2025_Feb_Fa</t>
  </si>
  <si>
    <t xml:space="preserve">2025_Mar_Fa</t>
  </si>
  <si>
    <t xml:space="preserve">2025_Abr_Fa</t>
  </si>
  <si>
    <t xml:space="preserve">2025_May_Fa</t>
  </si>
  <si>
    <t xml:space="preserve">2025_Jun_Fa</t>
  </si>
  <si>
    <t xml:space="preserve">2025_Jul_Fa</t>
  </si>
  <si>
    <t xml:space="preserve">2025_Ago_Fa</t>
  </si>
  <si>
    <t xml:space="preserve">2025_Set_Fa</t>
  </si>
  <si>
    <t xml:space="preserve">2025_Oct_Fa</t>
  </si>
  <si>
    <t xml:space="preserve">2025_Nov_Fa</t>
  </si>
  <si>
    <t xml:space="preserve">2025_Dic_Fa</t>
  </si>
  <si>
    <t xml:space="preserve">2026_Ene_Fa</t>
  </si>
  <si>
    <t xml:space="preserve">2026_Feb_Fa</t>
  </si>
  <si>
    <t xml:space="preserve">2026_Mar_Fa</t>
  </si>
  <si>
    <t xml:space="preserve">2026_Abr_Fa</t>
  </si>
  <si>
    <t xml:space="preserve">2026_May_Fa</t>
  </si>
  <si>
    <t xml:space="preserve">2026_Jun_Fa</t>
  </si>
  <si>
    <t xml:space="preserve">2026_Jul_Fa</t>
  </si>
  <si>
    <t xml:space="preserve">2026_Ago_Fa</t>
  </si>
  <si>
    <t xml:space="preserve">2026_Set_Fa</t>
  </si>
  <si>
    <t xml:space="preserve">2026_Oct_Fa</t>
  </si>
  <si>
    <t xml:space="preserve">2026_Nov_Fa</t>
  </si>
  <si>
    <t xml:space="preserve">2026_Dic_Fa</t>
  </si>
  <si>
    <t xml:space="preserve">2022_Ene_Li</t>
  </si>
  <si>
    <t xml:space="preserve">LinkedIn</t>
  </si>
  <si>
    <t xml:space="preserve">2022_Feb_Li</t>
  </si>
  <si>
    <t xml:space="preserve">2022_Mar_Li</t>
  </si>
  <si>
    <t xml:space="preserve">2022_Abr_Li</t>
  </si>
  <si>
    <t xml:space="preserve">2022_May_Li</t>
  </si>
  <si>
    <t xml:space="preserve">2022_Jun_Li</t>
  </si>
  <si>
    <t xml:space="preserve">2022_Jul_Li</t>
  </si>
  <si>
    <t xml:space="preserve">2022_Ago_Li</t>
  </si>
  <si>
    <t xml:space="preserve">2022_Set_Li</t>
  </si>
  <si>
    <t xml:space="preserve">2022_Oct_Li</t>
  </si>
  <si>
    <t xml:space="preserve">2022_Nov_Li</t>
  </si>
  <si>
    <t xml:space="preserve">2022_Dic_Li</t>
  </si>
  <si>
    <t xml:space="preserve">2023_Ene_Li</t>
  </si>
  <si>
    <t xml:space="preserve">2023_Feb_Li</t>
  </si>
  <si>
    <t xml:space="preserve">2023_Mar_Li</t>
  </si>
  <si>
    <t xml:space="preserve">2023_Abr_Li</t>
  </si>
  <si>
    <t xml:space="preserve">2023_May_Li</t>
  </si>
  <si>
    <t xml:space="preserve">2023_Jun_Li</t>
  </si>
  <si>
    <t xml:space="preserve">2023_Jul_Li</t>
  </si>
  <si>
    <t xml:space="preserve">2023_Ago_Li</t>
  </si>
  <si>
    <t xml:space="preserve">2023_Set_Li</t>
  </si>
  <si>
    <t xml:space="preserve">2023_Oct_Li</t>
  </si>
  <si>
    <t xml:space="preserve">2023_Nov_Li</t>
  </si>
  <si>
    <t xml:space="preserve">2023_Dic_Li</t>
  </si>
  <si>
    <t xml:space="preserve">2024_Ene_Li</t>
  </si>
  <si>
    <t xml:space="preserve">2024_Feb_Li</t>
  </si>
  <si>
    <t xml:space="preserve">2024_Mar_Li</t>
  </si>
  <si>
    <t xml:space="preserve">2024_Abr_Li</t>
  </si>
  <si>
    <t xml:space="preserve">2024_May_Li</t>
  </si>
  <si>
    <t xml:space="preserve">2024_Jun_Li</t>
  </si>
  <si>
    <t xml:space="preserve">2024_Jul_Li</t>
  </si>
  <si>
    <t xml:space="preserve">2024_Ago_Li</t>
  </si>
  <si>
    <t xml:space="preserve">2024_Set_Li</t>
  </si>
  <si>
    <t xml:space="preserve">2024_Oct_Li</t>
  </si>
  <si>
    <t xml:space="preserve">2024_Nov_Li</t>
  </si>
  <si>
    <t xml:space="preserve">2024_Dic_Li</t>
  </si>
  <si>
    <t xml:space="preserve">2025_Ene_Li</t>
  </si>
  <si>
    <t xml:space="preserve">2025_Feb_Li</t>
  </si>
  <si>
    <t xml:space="preserve">2025_Mar_Li</t>
  </si>
  <si>
    <t xml:space="preserve">2025_Abr_Li</t>
  </si>
  <si>
    <t xml:space="preserve">2025_May_Li</t>
  </si>
  <si>
    <t xml:space="preserve">2025_Jun_Li</t>
  </si>
  <si>
    <t xml:space="preserve">2025_Jul_Li</t>
  </si>
  <si>
    <t xml:space="preserve">2025_Ago_Li</t>
  </si>
  <si>
    <t xml:space="preserve">2025_Set_Li</t>
  </si>
  <si>
    <t xml:space="preserve">2025_Oct_Li</t>
  </si>
  <si>
    <t xml:space="preserve">2025_Nov_Li</t>
  </si>
  <si>
    <t xml:space="preserve">2025_Dic_Li</t>
  </si>
  <si>
    <t xml:space="preserve">2026_Ene_Li</t>
  </si>
  <si>
    <t xml:space="preserve">2026_Feb_Li</t>
  </si>
  <si>
    <t xml:space="preserve">2026_Mar_Li</t>
  </si>
  <si>
    <t xml:space="preserve">2026_Abr_Li</t>
  </si>
  <si>
    <t xml:space="preserve">2026_May_Li</t>
  </si>
  <si>
    <t xml:space="preserve">2026_Jun_Li</t>
  </si>
  <si>
    <t xml:space="preserve">2026_Jul_Li</t>
  </si>
  <si>
    <t xml:space="preserve">2026_Ago_Li</t>
  </si>
  <si>
    <t xml:space="preserve">2026_Set_Li</t>
  </si>
  <si>
    <t xml:space="preserve">2026_Oct_Li</t>
  </si>
  <si>
    <t xml:space="preserve">2026_Nov_Li</t>
  </si>
  <si>
    <t xml:space="preserve">2026_Dic_Li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</si>
</sst>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General"/>
    <numFmt numFmtId="167" formatCode="0.0"/>
    <numFmt numFmtId="168" formatCode="0.0\%"/>
    <numFmt numFmtId="169" formatCode="#,##0"/>
    <numFmt numFmtId="170" formatCode="0.00\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0"/>
      <color rgb="FF1A1A2E"/>
      <name val="Calibri"/>
      <family val="0"/>
      <charset val="1"/>
    </font>
    <font>
      <b val="true"/>
      <sz val="10"/>
      <color rgb="FF0F2D5E"/>
      <name val="Calibri"/>
      <family val="0"/>
      <charset val="1"/>
    </font>
    <font>
      <sz val="9"/>
      <color rgb="FF1A1A2E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FFFFFF"/>
      <name val="Calibri"/>
      <family val="0"/>
      <charset val="1"/>
    </font>
    <font>
      <i val="true"/>
      <sz val="9"/>
      <color rgb="FF1877F2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sz val="9"/>
      <name val="Calibri"/>
      <family val="0"/>
      <charset val="1"/>
    </font>
    <font>
      <i val="true"/>
      <sz val="9"/>
      <color rgb="FF0077B5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b val="true"/>
      <sz val="10"/>
      <color rgb="FF1E293B"/>
      <name val="Calibri"/>
      <family val="0"/>
      <charset val="1"/>
    </font>
    <font>
      <sz val="10"/>
      <color rgb="FF1E40AF"/>
      <name val="Calibri"/>
      <family val="0"/>
      <charset val="1"/>
    </font>
    <font>
      <sz val="10"/>
      <color rgb="FF065F46"/>
      <name val="Calibri"/>
      <family val="0"/>
      <charset val="1"/>
    </font>
    <font>
      <i val="true"/>
      <sz val="9"/>
      <color rgb="FF4285F4"/>
      <name val="Calibri"/>
      <family val="0"/>
      <charset val="1"/>
    </font>
    <font>
      <i val="true"/>
      <sz val="9"/>
      <color rgb="FF888888"/>
      <name val="Calibri"/>
      <family val="0"/>
      <charset val="1"/>
    </font>
    <font>
      <i val="true"/>
      <sz val="9"/>
      <color rgb="FF0F2D5E"/>
      <name val="Calibri"/>
      <family val="0"/>
      <charset val="1"/>
    </font>
    <font>
      <b val="true"/>
      <sz val="9"/>
      <color rgb="FF1A1A2E"/>
      <name val="Calibri"/>
      <family val="0"/>
      <charset val="1"/>
    </font>
  </fonts>
  <fills count="35">
    <fill>
      <patternFill patternType="none"/>
    </fill>
    <fill>
      <patternFill patternType="gray125"/>
    </fill>
    <fill>
      <patternFill patternType="solid">
        <fgColor rgb="FF0F2D5E"/>
        <bgColor rgb="FF1F3864"/>
      </patternFill>
    </fill>
    <fill>
      <patternFill patternType="solid">
        <fgColor rgb="FFFFFFFF"/>
        <bgColor rgb="FFF8FAFC"/>
      </patternFill>
    </fill>
    <fill>
      <patternFill patternType="solid">
        <fgColor rgb="FFD6E4F7"/>
        <bgColor rgb="FFD6E4F0"/>
      </patternFill>
    </fill>
    <fill>
      <patternFill patternType="solid">
        <fgColor rgb="FFF5F5F5"/>
        <bgColor rgb="FFF1F5F9"/>
      </patternFill>
    </fill>
    <fill>
      <patternFill patternType="solid">
        <fgColor rgb="FFE7F0FD"/>
        <bgColor rgb="FFE8F0FE"/>
      </patternFill>
    </fill>
    <fill>
      <patternFill patternType="solid">
        <fgColor rgb="FFE5F1F8"/>
        <bgColor rgb="FFE7F0FD"/>
      </patternFill>
    </fill>
    <fill>
      <patternFill patternType="solid">
        <fgColor rgb="FFE8F0FE"/>
        <bgColor rgb="FFE7F0FD"/>
      </patternFill>
    </fill>
    <fill>
      <patternFill patternType="solid">
        <fgColor rgb="FFEAF3DE"/>
        <bgColor rgb="FFE5F1F8"/>
      </patternFill>
    </fill>
    <fill>
      <patternFill patternType="solid">
        <fgColor rgb="FF0000FF"/>
        <bgColor rgb="FF0000FF"/>
      </patternFill>
    </fill>
    <fill>
      <patternFill patternType="solid">
        <fgColor rgb="FF008000"/>
        <bgColor rgb="FF065F46"/>
      </patternFill>
    </fill>
    <fill>
      <patternFill patternType="solid">
        <fgColor rgb="FF888888"/>
        <bgColor rgb="FF808000"/>
      </patternFill>
    </fill>
    <fill>
      <patternFill patternType="solid">
        <fgColor rgb="FF1F3864"/>
        <bgColor rgb="FF0F2D5E"/>
      </patternFill>
    </fill>
    <fill>
      <patternFill patternType="solid">
        <fgColor rgb="FF2E86C1"/>
        <bgColor rgb="FF3B82F6"/>
      </patternFill>
    </fill>
    <fill>
      <patternFill patternType="solid">
        <fgColor rgb="FFFADBD8"/>
        <bgColor rgb="FFDDDDDD"/>
      </patternFill>
    </fill>
    <fill>
      <patternFill patternType="solid">
        <fgColor rgb="FFFEF9E7"/>
        <bgColor rgb="FFF5F5F5"/>
      </patternFill>
    </fill>
    <fill>
      <patternFill patternType="solid">
        <fgColor rgb="FFD5F5E3"/>
        <bgColor rgb="FFDCFCE7"/>
      </patternFill>
    </fill>
    <fill>
      <patternFill patternType="solid">
        <fgColor rgb="FFD6E4F0"/>
        <bgColor rgb="FFD6E4F7"/>
      </patternFill>
    </fill>
    <fill>
      <patternFill patternType="solid">
        <fgColor rgb="FFFFEEEE"/>
        <bgColor rgb="FFF5EEF8"/>
      </patternFill>
    </fill>
    <fill>
      <patternFill patternType="solid">
        <fgColor rgb="FFFFF9C4"/>
        <bgColor rgb="FFFEF9E7"/>
      </patternFill>
    </fill>
    <fill>
      <patternFill patternType="solid">
        <fgColor rgb="FFC8E6C9"/>
        <bgColor rgb="FFDDDDDD"/>
      </patternFill>
    </fill>
    <fill>
      <patternFill patternType="solid">
        <fgColor rgb="FFBBDEFB"/>
        <bgColor rgb="FFCBD5E1"/>
      </patternFill>
    </fill>
    <fill>
      <patternFill patternType="solid">
        <fgColor rgb="FFEAF2FB"/>
        <bgColor rgb="FFE8F0FE"/>
      </patternFill>
    </fill>
    <fill>
      <patternFill patternType="solid">
        <fgColor rgb="FFF5EEF8"/>
        <bgColor rgb="FFF5F5F5"/>
      </patternFill>
    </fill>
    <fill>
      <patternFill patternType="solid">
        <fgColor rgb="FF1877F2"/>
        <bgColor rgb="FF3B82F6"/>
      </patternFill>
    </fill>
    <fill>
      <patternFill patternType="solid">
        <fgColor rgb="FFDBEAFE"/>
        <bgColor rgb="FFD6E4F7"/>
      </patternFill>
    </fill>
    <fill>
      <patternFill patternType="solid">
        <fgColor rgb="FF0077B5"/>
        <bgColor rgb="FF1877F2"/>
      </patternFill>
    </fill>
    <fill>
      <patternFill patternType="solid">
        <fgColor rgb="FF4285F4"/>
        <bgColor rgb="FF3B82F6"/>
      </patternFill>
    </fill>
    <fill>
      <patternFill patternType="solid">
        <fgColor rgb="FF1E40AF"/>
        <bgColor rgb="FF1F3864"/>
      </patternFill>
    </fill>
    <fill>
      <patternFill patternType="solid">
        <fgColor rgb="FFDCFCE7"/>
        <bgColor rgb="FFD5F5E3"/>
      </patternFill>
    </fill>
    <fill>
      <patternFill patternType="solid">
        <fgColor rgb="FFF8FAFC"/>
        <bgColor rgb="FFF5F5F5"/>
      </patternFill>
    </fill>
    <fill>
      <patternFill patternType="solid">
        <fgColor rgb="FFD97706"/>
        <bgColor rgb="FF808000"/>
      </patternFill>
    </fill>
    <fill>
      <patternFill patternType="solid">
        <fgColor rgb="FF3B82F6"/>
        <bgColor rgb="FF4285F4"/>
      </patternFill>
    </fill>
    <fill>
      <patternFill patternType="solid">
        <fgColor rgb="FFF1F5F9"/>
        <bgColor rgb="FFF5F5F5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11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" fillId="1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2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2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2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2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2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3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4" fillId="3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3" fillId="2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2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4" fillId="3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F2D5E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A1A2E"/>
          <bgColor rgb="FF000000"/>
        </patternFill>
      </fill>
    </dxf>
    <dxf>
      <fill>
        <patternFill patternType="solid">
          <fgColor rgb="FF4285F4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AF3DE"/>
      <rgbColor rgb="FFFF00FF"/>
      <rgbColor rgb="FFEAF2FB"/>
      <rgbColor rgb="FF800000"/>
      <rgbColor rgb="FF008000"/>
      <rgbColor rgb="FF000080"/>
      <rgbColor rgb="FF808000"/>
      <rgbColor rgb="FF800080"/>
      <rgbColor rgb="FF065F46"/>
      <rgbColor rgb="FFCCCCCC"/>
      <rgbColor rgb="FF888888"/>
      <rgbColor rgb="FFD6E4F7"/>
      <rgbColor rgb="FF993366"/>
      <rgbColor rgb="FFFFF9C4"/>
      <rgbColor rgb="FFDCFCE7"/>
      <rgbColor rgb="FF660066"/>
      <rgbColor rgb="FFDBEAFE"/>
      <rgbColor rgb="FF0077B5"/>
      <rgbColor rgb="FFCBD5E1"/>
      <rgbColor rgb="FF000080"/>
      <rgbColor rgb="FFFF00FF"/>
      <rgbColor rgb="FFFFEEEE"/>
      <rgbColor rgb="FFF1F5F9"/>
      <rgbColor rgb="FF800080"/>
      <rgbColor rgb="FF800000"/>
      <rgbColor rgb="FF2E86C1"/>
      <rgbColor rgb="FF0000FF"/>
      <rgbColor rgb="FFF8FAFC"/>
      <rgbColor rgb="FFE5F1F8"/>
      <rgbColor rgb="FFD5F5E3"/>
      <rgbColor rgb="FFFEF9E7"/>
      <rgbColor rgb="FFBBDEFB"/>
      <rgbColor rgb="FFD6E4F0"/>
      <rgbColor rgb="FFDDDDDD"/>
      <rgbColor rgb="FFFADBD8"/>
      <rgbColor rgb="FF1877F2"/>
      <rgbColor rgb="FFE8F0FE"/>
      <rgbColor rgb="FFE7F0FD"/>
      <rgbColor rgb="FFF5EEF8"/>
      <rgbColor rgb="FFF5F5F5"/>
      <rgbColor rgb="FFD97706"/>
      <rgbColor rgb="FF4285F4"/>
      <rgbColor rgb="FFC8E6C9"/>
      <rgbColor rgb="FF0F2D5E"/>
      <rgbColor rgb="FF3B82F6"/>
      <rgbColor rgb="FF1F3864"/>
      <rgbColor rgb="FF1A1A2E"/>
      <rgbColor rgb="FF993300"/>
      <rgbColor rgb="FF993366"/>
      <rgbColor rgb="FF1E40AF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2"/>
  </cols>
  <sheetData>
    <row r="1" customFormat="false" ht="18" hidden="false" customHeight="true" outlineLevel="0" collapsed="false">
      <c r="A1" s="1" t="s">
        <v>0</v>
      </c>
    </row>
    <row r="2" customFormat="false" ht="18" hidden="false" customHeight="true" outlineLevel="0" collapsed="false">
      <c r="A2" s="2"/>
    </row>
    <row r="3" customFormat="false" ht="18" hidden="false" customHeight="true" outlineLevel="0" collapsed="false">
      <c r="A3" s="3" t="s">
        <v>1</v>
      </c>
    </row>
    <row r="4" customFormat="false" ht="15.75" hidden="false" customHeight="true" outlineLevel="0" collapsed="false">
      <c r="A4" s="4"/>
    </row>
    <row r="5" customFormat="false" ht="15.75" hidden="false" customHeight="true" outlineLevel="0" collapsed="false">
      <c r="A5" s="5" t="s">
        <v>2</v>
      </c>
      <c r="B5" s="6" t="s">
        <v>3</v>
      </c>
    </row>
    <row r="6" customFormat="false" ht="15.75" hidden="false" customHeight="true" outlineLevel="0" collapsed="false">
      <c r="A6" s="7" t="s">
        <v>4</v>
      </c>
      <c r="B6" s="7" t="s">
        <v>5</v>
      </c>
    </row>
    <row r="7" customFormat="false" ht="15.75" hidden="false" customHeight="true" outlineLevel="0" collapsed="false">
      <c r="A7" s="8" t="s">
        <v>6</v>
      </c>
      <c r="B7" s="8" t="s">
        <v>7</v>
      </c>
    </row>
    <row r="8" customFormat="false" ht="15.75" hidden="false" customHeight="true" outlineLevel="0" collapsed="false">
      <c r="A8" s="9" t="s">
        <v>8</v>
      </c>
      <c r="B8" s="9" t="s">
        <v>9</v>
      </c>
    </row>
    <row r="9" customFormat="false" ht="15.75" hidden="false" customHeight="true" outlineLevel="0" collapsed="false">
      <c r="A9" s="10" t="s">
        <v>10</v>
      </c>
      <c r="B9" s="10" t="s">
        <v>11</v>
      </c>
    </row>
    <row r="10" customFormat="false" ht="15.75" hidden="false" customHeight="true" outlineLevel="0" collapsed="false">
      <c r="A10" s="10" t="s">
        <v>12</v>
      </c>
      <c r="B10" s="10" t="s">
        <v>13</v>
      </c>
    </row>
    <row r="11" customFormat="false" ht="15.75" hidden="false" customHeight="true" outlineLevel="0" collapsed="false">
      <c r="A11" s="10" t="s">
        <v>14</v>
      </c>
      <c r="B11" s="10" t="s">
        <v>15</v>
      </c>
    </row>
    <row r="12" customFormat="false" ht="15.75" hidden="false" customHeight="true" outlineLevel="0" collapsed="false">
      <c r="A12" s="10" t="s">
        <v>16</v>
      </c>
      <c r="B12" s="10" t="s">
        <v>17</v>
      </c>
    </row>
    <row r="13" customFormat="false" ht="15.75" hidden="false" customHeight="true" outlineLevel="0" collapsed="false">
      <c r="A13" s="11" t="s">
        <v>18</v>
      </c>
      <c r="B13" s="11" t="s">
        <v>19</v>
      </c>
    </row>
    <row r="14" customFormat="false" ht="15.75" hidden="false" customHeight="true" outlineLevel="0" collapsed="false"/>
    <row r="15" customFormat="false" ht="18" hidden="false" customHeight="true" outlineLevel="0" collapsed="false">
      <c r="A15" s="11" t="s">
        <v>20</v>
      </c>
      <c r="B15" s="12" t="s">
        <v>21</v>
      </c>
    </row>
    <row r="16" customFormat="false" ht="15.75" hidden="false" customHeight="true" outlineLevel="0" collapsed="false">
      <c r="A16" s="11" t="s">
        <v>22</v>
      </c>
      <c r="B16" s="12" t="s">
        <v>23</v>
      </c>
    </row>
    <row r="17" customFormat="false" ht="15.75" hidden="false" customHeight="true" outlineLevel="0" collapsed="false">
      <c r="A17" s="11" t="s">
        <v>24</v>
      </c>
      <c r="B17" s="12" t="s">
        <v>25</v>
      </c>
    </row>
    <row r="18" customFormat="false" ht="15.75" hidden="false" customHeight="true" outlineLevel="0" collapsed="false">
      <c r="A18" s="4"/>
    </row>
    <row r="19" customFormat="false" ht="15.75" hidden="false" customHeight="true" outlineLevel="0" collapsed="false">
      <c r="A19" s="3" t="s">
        <v>26</v>
      </c>
    </row>
    <row r="20" customFormat="false" ht="15.75" hidden="false" customHeight="true" outlineLevel="0" collapsed="false">
      <c r="A20" s="4"/>
    </row>
    <row r="21" customFormat="false" ht="15.75" hidden="false" customHeight="true" outlineLevel="0" collapsed="false">
      <c r="A21" s="7" t="s">
        <v>27</v>
      </c>
      <c r="B21" s="7" t="s">
        <v>28</v>
      </c>
    </row>
    <row r="22" customFormat="false" ht="15.75" hidden="false" customHeight="true" outlineLevel="0" collapsed="false">
      <c r="A22" s="7" t="s">
        <v>29</v>
      </c>
      <c r="B22" s="7" t="s">
        <v>30</v>
      </c>
    </row>
    <row r="23" customFormat="false" ht="18" hidden="false" customHeight="true" outlineLevel="0" collapsed="false">
      <c r="A23" s="7" t="s">
        <v>31</v>
      </c>
      <c r="B23" s="7" t="s">
        <v>32</v>
      </c>
    </row>
    <row r="24" customFormat="false" ht="15.75" hidden="false" customHeight="true" outlineLevel="0" collapsed="false">
      <c r="A24" s="7" t="s">
        <v>33</v>
      </c>
      <c r="B24" s="7" t="s">
        <v>34</v>
      </c>
    </row>
    <row r="25" customFormat="false" ht="15.75" hidden="false" customHeight="true" outlineLevel="0" collapsed="false">
      <c r="A25" s="7" t="s">
        <v>35</v>
      </c>
      <c r="B25" s="7" t="s">
        <v>36</v>
      </c>
    </row>
    <row r="26" customFormat="false" ht="15.75" hidden="false" customHeight="true" outlineLevel="0" collapsed="false">
      <c r="A26" s="13" t="s">
        <v>37</v>
      </c>
      <c r="B26" s="14" t="s">
        <v>38</v>
      </c>
    </row>
    <row r="27" customFormat="false" ht="15.75" hidden="false" customHeight="true" outlineLevel="0" collapsed="false">
      <c r="A27" s="4"/>
    </row>
    <row r="28" customFormat="false" ht="15.75" hidden="false" customHeight="true" outlineLevel="0" collapsed="false">
      <c r="A28" s="3" t="s">
        <v>39</v>
      </c>
    </row>
    <row r="29" customFormat="false" ht="15.75" hidden="false" customHeight="true" outlineLevel="0" collapsed="false">
      <c r="A29" s="4"/>
    </row>
    <row r="30" customFormat="false" ht="14.25" hidden="false" customHeight="false" outlineLevel="0" collapsed="false">
      <c r="A30" s="15" t="s">
        <v>40</v>
      </c>
      <c r="B30" s="15" t="s">
        <v>41</v>
      </c>
    </row>
    <row r="31" customFormat="false" ht="14.25" hidden="false" customHeight="false" outlineLevel="0" collapsed="false">
      <c r="A31" s="16" t="s">
        <v>42</v>
      </c>
      <c r="B31" s="16" t="s">
        <v>43</v>
      </c>
    </row>
    <row r="32" customFormat="false" ht="14.25" hidden="false" customHeight="false" outlineLevel="0" collapsed="false">
      <c r="A32" s="17" t="s">
        <v>44</v>
      </c>
      <c r="B32" s="17" t="s">
        <v>45</v>
      </c>
    </row>
    <row r="33" customFormat="false" ht="14.25" hidden="false" customHeight="false" outlineLevel="0" collapsed="false">
      <c r="A33" s="4"/>
    </row>
    <row r="34" customFormat="false" ht="14.25" hidden="false" customHeight="false" outlineLevel="0" collapsed="false">
      <c r="A34" s="7" t="s">
        <v>46</v>
      </c>
      <c r="B34" s="7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55"/>
    <col collapsed="false" customWidth="true" hidden="false" outlineLevel="0" max="8" min="8" style="0" width="26"/>
    <col collapsed="false" customWidth="true" hidden="false" outlineLevel="0" max="9" min="9" style="0" width="24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22"/>
  </cols>
  <sheetData>
    <row r="1" customFormat="false" ht="18" hidden="false" customHeight="true" outlineLevel="0" collapsed="false">
      <c r="A1" s="18" t="s">
        <v>48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36" hidden="false" customHeight="true" outlineLevel="0" collapsed="false">
      <c r="A2" s="19" t="s">
        <v>49</v>
      </c>
      <c r="B2" s="19" t="s">
        <v>50</v>
      </c>
      <c r="C2" s="19" t="s">
        <v>51</v>
      </c>
      <c r="D2" s="19" t="s">
        <v>52</v>
      </c>
      <c r="E2" s="19" t="s">
        <v>53</v>
      </c>
      <c r="F2" s="19" t="s">
        <v>54</v>
      </c>
      <c r="G2" s="19" t="s">
        <v>55</v>
      </c>
      <c r="H2" s="19" t="s">
        <v>56</v>
      </c>
      <c r="I2" s="19" t="s">
        <v>57</v>
      </c>
      <c r="J2" s="19" t="s">
        <v>58</v>
      </c>
      <c r="K2" s="19" t="s">
        <v>59</v>
      </c>
      <c r="L2" s="19" t="s">
        <v>60</v>
      </c>
    </row>
    <row r="3" customFormat="false" ht="19.5" hidden="false" customHeight="true" outlineLevel="0" collapsed="false">
      <c r="A3" s="20" t="s">
        <v>61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customFormat="false" ht="42" hidden="false" customHeight="true" outlineLevel="0" collapsed="false">
      <c r="A4" s="21" t="n">
        <v>1</v>
      </c>
      <c r="B4" s="21" t="s">
        <v>62</v>
      </c>
      <c r="C4" s="21" t="s">
        <v>63</v>
      </c>
      <c r="D4" s="21" t="s">
        <v>64</v>
      </c>
      <c r="E4" s="21" t="s">
        <v>65</v>
      </c>
      <c r="F4" s="21" t="s">
        <v>66</v>
      </c>
      <c r="G4" s="22" t="s">
        <v>67</v>
      </c>
      <c r="H4" s="21" t="s">
        <v>68</v>
      </c>
      <c r="I4" s="21" t="s">
        <v>69</v>
      </c>
      <c r="J4" s="21" t="s">
        <v>70</v>
      </c>
      <c r="K4" s="21"/>
      <c r="L4" s="21"/>
    </row>
    <row r="5" customFormat="false" ht="42" hidden="false" customHeight="true" outlineLevel="0" collapsed="false">
      <c r="A5" s="23" t="n">
        <v>2</v>
      </c>
      <c r="B5" s="23" t="s">
        <v>71</v>
      </c>
      <c r="C5" s="23" t="s">
        <v>72</v>
      </c>
      <c r="D5" s="23" t="s">
        <v>64</v>
      </c>
      <c r="E5" s="23" t="s">
        <v>65</v>
      </c>
      <c r="F5" s="23" t="s">
        <v>73</v>
      </c>
      <c r="G5" s="24" t="s">
        <v>74</v>
      </c>
      <c r="H5" s="23" t="s">
        <v>75</v>
      </c>
      <c r="I5" s="23" t="s">
        <v>69</v>
      </c>
      <c r="J5" s="23" t="s">
        <v>70</v>
      </c>
      <c r="K5" s="23"/>
      <c r="L5" s="23"/>
    </row>
    <row r="6" customFormat="false" ht="42" hidden="false" customHeight="true" outlineLevel="0" collapsed="false">
      <c r="A6" s="25" t="n">
        <v>3</v>
      </c>
      <c r="B6" s="25" t="s">
        <v>76</v>
      </c>
      <c r="C6" s="25" t="s">
        <v>77</v>
      </c>
      <c r="D6" s="25" t="s">
        <v>64</v>
      </c>
      <c r="E6" s="25" t="s">
        <v>65</v>
      </c>
      <c r="F6" s="25" t="s">
        <v>78</v>
      </c>
      <c r="G6" s="26" t="s">
        <v>79</v>
      </c>
      <c r="H6" s="25" t="s">
        <v>80</v>
      </c>
      <c r="I6" s="25" t="s">
        <v>69</v>
      </c>
      <c r="J6" s="25" t="s">
        <v>70</v>
      </c>
      <c r="K6" s="25"/>
      <c r="L6" s="25"/>
    </row>
    <row r="7" customFormat="false" ht="42" hidden="false" customHeight="true" outlineLevel="0" collapsed="false">
      <c r="A7" s="21" t="n">
        <v>4</v>
      </c>
      <c r="B7" s="21" t="s">
        <v>81</v>
      </c>
      <c r="C7" s="21" t="s">
        <v>63</v>
      </c>
      <c r="D7" s="21" t="s">
        <v>82</v>
      </c>
      <c r="E7" s="21" t="s">
        <v>65</v>
      </c>
      <c r="F7" s="21" t="s">
        <v>66</v>
      </c>
      <c r="G7" s="22" t="s">
        <v>83</v>
      </c>
      <c r="H7" s="21" t="s">
        <v>68</v>
      </c>
      <c r="I7" s="21" t="s">
        <v>69</v>
      </c>
      <c r="J7" s="21" t="s">
        <v>70</v>
      </c>
      <c r="K7" s="21"/>
      <c r="L7" s="21"/>
    </row>
    <row r="8" customFormat="false" ht="42" hidden="false" customHeight="true" outlineLevel="0" collapsed="false">
      <c r="A8" s="23" t="n">
        <v>5</v>
      </c>
      <c r="B8" s="23" t="s">
        <v>84</v>
      </c>
      <c r="C8" s="23" t="s">
        <v>72</v>
      </c>
      <c r="D8" s="23" t="s">
        <v>82</v>
      </c>
      <c r="E8" s="23" t="s">
        <v>65</v>
      </c>
      <c r="F8" s="23" t="s">
        <v>73</v>
      </c>
      <c r="G8" s="24" t="s">
        <v>85</v>
      </c>
      <c r="H8" s="23" t="s">
        <v>75</v>
      </c>
      <c r="I8" s="23" t="s">
        <v>69</v>
      </c>
      <c r="J8" s="23" t="s">
        <v>70</v>
      </c>
      <c r="K8" s="23"/>
      <c r="L8" s="23"/>
    </row>
    <row r="9" customFormat="false" ht="42" hidden="false" customHeight="true" outlineLevel="0" collapsed="false">
      <c r="A9" s="25" t="n">
        <v>6</v>
      </c>
      <c r="B9" s="25" t="s">
        <v>86</v>
      </c>
      <c r="C9" s="25" t="s">
        <v>77</v>
      </c>
      <c r="D9" s="25" t="s">
        <v>82</v>
      </c>
      <c r="E9" s="25" t="s">
        <v>65</v>
      </c>
      <c r="F9" s="25" t="s">
        <v>78</v>
      </c>
      <c r="G9" s="26" t="s">
        <v>87</v>
      </c>
      <c r="H9" s="25" t="s">
        <v>88</v>
      </c>
      <c r="I9" s="25" t="s">
        <v>69</v>
      </c>
      <c r="J9" s="25" t="s">
        <v>70</v>
      </c>
      <c r="K9" s="25"/>
      <c r="L9" s="25"/>
    </row>
    <row r="10" customFormat="false" ht="42" hidden="false" customHeight="true" outlineLevel="0" collapsed="false">
      <c r="A10" s="27" t="n">
        <v>7</v>
      </c>
      <c r="B10" s="27" t="s">
        <v>89</v>
      </c>
      <c r="C10" s="27" t="s">
        <v>63</v>
      </c>
      <c r="D10" s="27" t="s">
        <v>90</v>
      </c>
      <c r="E10" s="27" t="s">
        <v>65</v>
      </c>
      <c r="F10" s="27" t="s">
        <v>91</v>
      </c>
      <c r="G10" s="28" t="s">
        <v>92</v>
      </c>
      <c r="H10" s="27" t="s">
        <v>93</v>
      </c>
      <c r="I10" s="27" t="s">
        <v>69</v>
      </c>
      <c r="J10" s="27" t="s">
        <v>70</v>
      </c>
      <c r="K10" s="27"/>
      <c r="L10" s="27"/>
    </row>
    <row r="11" customFormat="false" ht="42" hidden="false" customHeight="true" outlineLevel="0" collapsed="false">
      <c r="A11" s="23" t="n">
        <v>8</v>
      </c>
      <c r="B11" s="23" t="s">
        <v>94</v>
      </c>
      <c r="C11" s="23" t="s">
        <v>72</v>
      </c>
      <c r="D11" s="23" t="s">
        <v>90</v>
      </c>
      <c r="E11" s="23" t="s">
        <v>65</v>
      </c>
      <c r="F11" s="23" t="s">
        <v>73</v>
      </c>
      <c r="G11" s="24" t="s">
        <v>95</v>
      </c>
      <c r="H11" s="23" t="s">
        <v>75</v>
      </c>
      <c r="I11" s="23" t="s">
        <v>69</v>
      </c>
      <c r="J11" s="23" t="s">
        <v>70</v>
      </c>
      <c r="K11" s="23"/>
      <c r="L11" s="23"/>
    </row>
    <row r="12" customFormat="false" ht="42" hidden="false" customHeight="true" outlineLevel="0" collapsed="false">
      <c r="A12" s="25" t="n">
        <v>9</v>
      </c>
      <c r="B12" s="25" t="s">
        <v>96</v>
      </c>
      <c r="C12" s="25" t="s">
        <v>77</v>
      </c>
      <c r="D12" s="25" t="s">
        <v>90</v>
      </c>
      <c r="E12" s="25" t="s">
        <v>65</v>
      </c>
      <c r="F12" s="25" t="s">
        <v>78</v>
      </c>
      <c r="G12" s="26" t="s">
        <v>97</v>
      </c>
      <c r="H12" s="25" t="s">
        <v>98</v>
      </c>
      <c r="I12" s="25" t="s">
        <v>69</v>
      </c>
      <c r="J12" s="25" t="s">
        <v>70</v>
      </c>
      <c r="K12" s="25"/>
      <c r="L12" s="25"/>
    </row>
    <row r="13" customFormat="false" ht="42" hidden="false" customHeight="true" outlineLevel="0" collapsed="false">
      <c r="A13" s="21" t="n">
        <v>10</v>
      </c>
      <c r="B13" s="21" t="s">
        <v>99</v>
      </c>
      <c r="C13" s="21" t="s">
        <v>63</v>
      </c>
      <c r="D13" s="21" t="s">
        <v>100</v>
      </c>
      <c r="E13" s="21" t="s">
        <v>65</v>
      </c>
      <c r="F13" s="21" t="s">
        <v>66</v>
      </c>
      <c r="G13" s="22" t="s">
        <v>101</v>
      </c>
      <c r="H13" s="21" t="s">
        <v>68</v>
      </c>
      <c r="I13" s="21" t="s">
        <v>69</v>
      </c>
      <c r="J13" s="21" t="s">
        <v>70</v>
      </c>
      <c r="K13" s="21"/>
      <c r="L13" s="21"/>
    </row>
    <row r="14" customFormat="false" ht="42" hidden="false" customHeight="true" outlineLevel="0" collapsed="false">
      <c r="A14" s="23" t="n">
        <v>11</v>
      </c>
      <c r="B14" s="23" t="s">
        <v>102</v>
      </c>
      <c r="C14" s="23" t="s">
        <v>72</v>
      </c>
      <c r="D14" s="23" t="s">
        <v>100</v>
      </c>
      <c r="E14" s="23" t="s">
        <v>65</v>
      </c>
      <c r="F14" s="23" t="s">
        <v>73</v>
      </c>
      <c r="G14" s="24" t="s">
        <v>103</v>
      </c>
      <c r="H14" s="23" t="s">
        <v>75</v>
      </c>
      <c r="I14" s="23" t="s">
        <v>69</v>
      </c>
      <c r="J14" s="23" t="s">
        <v>70</v>
      </c>
      <c r="K14" s="23"/>
      <c r="L14" s="23"/>
    </row>
    <row r="15" customFormat="false" ht="42" hidden="false" customHeight="true" outlineLevel="0" collapsed="false">
      <c r="A15" s="25" t="n">
        <v>12</v>
      </c>
      <c r="B15" s="25" t="s">
        <v>104</v>
      </c>
      <c r="C15" s="25" t="s">
        <v>77</v>
      </c>
      <c r="D15" s="25" t="s">
        <v>100</v>
      </c>
      <c r="E15" s="25" t="s">
        <v>65</v>
      </c>
      <c r="F15" s="25" t="s">
        <v>78</v>
      </c>
      <c r="G15" s="26" t="s">
        <v>105</v>
      </c>
      <c r="H15" s="25" t="s">
        <v>88</v>
      </c>
      <c r="I15" s="25" t="s">
        <v>69</v>
      </c>
      <c r="J15" s="25" t="s">
        <v>70</v>
      </c>
      <c r="K15" s="25"/>
      <c r="L15" s="25"/>
    </row>
    <row r="16" customFormat="false" ht="19.5" hidden="false" customHeight="true" outlineLevel="0" collapsed="false">
      <c r="A16" s="20" t="s">
        <v>106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customFormat="false" ht="42" hidden="false" customHeight="true" outlineLevel="0" collapsed="false">
      <c r="A17" s="23" t="n">
        <v>13</v>
      </c>
      <c r="B17" s="23" t="s">
        <v>107</v>
      </c>
      <c r="C17" s="23" t="s">
        <v>63</v>
      </c>
      <c r="D17" s="23" t="s">
        <v>64</v>
      </c>
      <c r="E17" s="23" t="s">
        <v>108</v>
      </c>
      <c r="F17" s="23" t="s">
        <v>73</v>
      </c>
      <c r="G17" s="24" t="s">
        <v>109</v>
      </c>
      <c r="H17" s="23" t="s">
        <v>75</v>
      </c>
      <c r="I17" s="23" t="s">
        <v>69</v>
      </c>
      <c r="J17" s="23" t="s">
        <v>70</v>
      </c>
      <c r="K17" s="23"/>
      <c r="L17" s="23"/>
    </row>
    <row r="18" customFormat="false" ht="42" hidden="false" customHeight="true" outlineLevel="0" collapsed="false">
      <c r="A18" s="27" t="n">
        <v>14</v>
      </c>
      <c r="B18" s="27" t="s">
        <v>110</v>
      </c>
      <c r="C18" s="27" t="s">
        <v>72</v>
      </c>
      <c r="D18" s="27" t="s">
        <v>64</v>
      </c>
      <c r="E18" s="27" t="s">
        <v>108</v>
      </c>
      <c r="F18" s="27" t="s">
        <v>91</v>
      </c>
      <c r="G18" s="28" t="s">
        <v>111</v>
      </c>
      <c r="H18" s="27" t="s">
        <v>93</v>
      </c>
      <c r="I18" s="27" t="s">
        <v>69</v>
      </c>
      <c r="J18" s="27" t="s">
        <v>70</v>
      </c>
      <c r="K18" s="27"/>
      <c r="L18" s="27"/>
    </row>
    <row r="19" customFormat="false" ht="42" hidden="false" customHeight="true" outlineLevel="0" collapsed="false">
      <c r="A19" s="21" t="n">
        <v>15</v>
      </c>
      <c r="B19" s="21" t="s">
        <v>112</v>
      </c>
      <c r="C19" s="21" t="s">
        <v>77</v>
      </c>
      <c r="D19" s="21" t="s">
        <v>64</v>
      </c>
      <c r="E19" s="21" t="s">
        <v>108</v>
      </c>
      <c r="F19" s="21" t="s">
        <v>66</v>
      </c>
      <c r="G19" s="22" t="s">
        <v>113</v>
      </c>
      <c r="H19" s="21" t="s">
        <v>68</v>
      </c>
      <c r="I19" s="21" t="s">
        <v>69</v>
      </c>
      <c r="J19" s="21" t="s">
        <v>70</v>
      </c>
      <c r="K19" s="21"/>
      <c r="L19" s="21"/>
    </row>
    <row r="20" customFormat="false" ht="42" hidden="false" customHeight="true" outlineLevel="0" collapsed="false">
      <c r="A20" s="25" t="n">
        <v>16</v>
      </c>
      <c r="B20" s="25" t="s">
        <v>114</v>
      </c>
      <c r="C20" s="25" t="s">
        <v>63</v>
      </c>
      <c r="D20" s="25" t="s">
        <v>82</v>
      </c>
      <c r="E20" s="25" t="s">
        <v>108</v>
      </c>
      <c r="F20" s="25" t="s">
        <v>78</v>
      </c>
      <c r="G20" s="26" t="s">
        <v>115</v>
      </c>
      <c r="H20" s="25" t="s">
        <v>80</v>
      </c>
      <c r="I20" s="25" t="s">
        <v>69</v>
      </c>
      <c r="J20" s="25" t="s">
        <v>70</v>
      </c>
      <c r="K20" s="25"/>
      <c r="L20" s="25"/>
    </row>
    <row r="21" customFormat="false" ht="42" hidden="false" customHeight="true" outlineLevel="0" collapsed="false">
      <c r="A21" s="23" t="n">
        <v>17</v>
      </c>
      <c r="B21" s="23" t="s">
        <v>116</v>
      </c>
      <c r="C21" s="23" t="s">
        <v>72</v>
      </c>
      <c r="D21" s="23" t="s">
        <v>82</v>
      </c>
      <c r="E21" s="23" t="s">
        <v>108</v>
      </c>
      <c r="F21" s="23" t="s">
        <v>73</v>
      </c>
      <c r="G21" s="24" t="s">
        <v>117</v>
      </c>
      <c r="H21" s="23" t="s">
        <v>75</v>
      </c>
      <c r="I21" s="23" t="s">
        <v>69</v>
      </c>
      <c r="J21" s="23" t="s">
        <v>70</v>
      </c>
      <c r="K21" s="23"/>
      <c r="L21" s="23"/>
    </row>
    <row r="22" customFormat="false" ht="42" hidden="false" customHeight="true" outlineLevel="0" collapsed="false">
      <c r="A22" s="25" t="n">
        <v>18</v>
      </c>
      <c r="B22" s="25" t="s">
        <v>118</v>
      </c>
      <c r="C22" s="25" t="s">
        <v>77</v>
      </c>
      <c r="D22" s="25" t="s">
        <v>82</v>
      </c>
      <c r="E22" s="25" t="s">
        <v>108</v>
      </c>
      <c r="F22" s="25" t="s">
        <v>78</v>
      </c>
      <c r="G22" s="26" t="s">
        <v>119</v>
      </c>
      <c r="H22" s="25" t="s">
        <v>88</v>
      </c>
      <c r="I22" s="25" t="s">
        <v>69</v>
      </c>
      <c r="J22" s="25" t="s">
        <v>70</v>
      </c>
      <c r="K22" s="25"/>
      <c r="L22" s="25"/>
    </row>
    <row r="23" customFormat="false" ht="42" hidden="false" customHeight="true" outlineLevel="0" collapsed="false">
      <c r="A23" s="27" t="n">
        <v>19</v>
      </c>
      <c r="B23" s="27" t="s">
        <v>120</v>
      </c>
      <c r="C23" s="27" t="s">
        <v>63</v>
      </c>
      <c r="D23" s="27" t="s">
        <v>90</v>
      </c>
      <c r="E23" s="27" t="s">
        <v>108</v>
      </c>
      <c r="F23" s="27" t="s">
        <v>91</v>
      </c>
      <c r="G23" s="28" t="s">
        <v>121</v>
      </c>
      <c r="H23" s="27" t="s">
        <v>93</v>
      </c>
      <c r="I23" s="27" t="s">
        <v>69</v>
      </c>
      <c r="J23" s="27" t="s">
        <v>70</v>
      </c>
      <c r="K23" s="27"/>
      <c r="L23" s="27"/>
    </row>
    <row r="24" customFormat="false" ht="42" hidden="false" customHeight="true" outlineLevel="0" collapsed="false">
      <c r="A24" s="21" t="n">
        <v>20</v>
      </c>
      <c r="B24" s="21" t="s">
        <v>122</v>
      </c>
      <c r="C24" s="21" t="s">
        <v>72</v>
      </c>
      <c r="D24" s="21" t="s">
        <v>90</v>
      </c>
      <c r="E24" s="21" t="s">
        <v>108</v>
      </c>
      <c r="F24" s="21" t="s">
        <v>66</v>
      </c>
      <c r="G24" s="22" t="s">
        <v>123</v>
      </c>
      <c r="H24" s="21" t="s">
        <v>68</v>
      </c>
      <c r="I24" s="21" t="s">
        <v>69</v>
      </c>
      <c r="J24" s="21" t="s">
        <v>70</v>
      </c>
      <c r="K24" s="21"/>
      <c r="L24" s="21"/>
    </row>
    <row r="25" customFormat="false" ht="42" hidden="false" customHeight="true" outlineLevel="0" collapsed="false">
      <c r="A25" s="23" t="n">
        <v>21</v>
      </c>
      <c r="B25" s="23" t="s">
        <v>124</v>
      </c>
      <c r="C25" s="23" t="s">
        <v>77</v>
      </c>
      <c r="D25" s="23" t="s">
        <v>90</v>
      </c>
      <c r="E25" s="23" t="s">
        <v>108</v>
      </c>
      <c r="F25" s="23" t="s">
        <v>73</v>
      </c>
      <c r="G25" s="24" t="s">
        <v>125</v>
      </c>
      <c r="H25" s="23" t="s">
        <v>75</v>
      </c>
      <c r="I25" s="23" t="s">
        <v>69</v>
      </c>
      <c r="J25" s="23" t="s">
        <v>70</v>
      </c>
      <c r="K25" s="23"/>
      <c r="L25" s="23"/>
    </row>
    <row r="26" customFormat="false" ht="42" hidden="false" customHeight="true" outlineLevel="0" collapsed="false">
      <c r="A26" s="27" t="n">
        <v>22</v>
      </c>
      <c r="B26" s="27" t="s">
        <v>126</v>
      </c>
      <c r="C26" s="27" t="s">
        <v>63</v>
      </c>
      <c r="D26" s="27" t="s">
        <v>100</v>
      </c>
      <c r="E26" s="27" t="s">
        <v>108</v>
      </c>
      <c r="F26" s="27" t="s">
        <v>91</v>
      </c>
      <c r="G26" s="28" t="s">
        <v>127</v>
      </c>
      <c r="H26" s="27" t="s">
        <v>93</v>
      </c>
      <c r="I26" s="27" t="s">
        <v>69</v>
      </c>
      <c r="J26" s="27" t="s">
        <v>70</v>
      </c>
      <c r="K26" s="27"/>
      <c r="L26" s="27"/>
    </row>
    <row r="27" customFormat="false" ht="42" hidden="false" customHeight="true" outlineLevel="0" collapsed="false">
      <c r="A27" s="21" t="n">
        <v>23</v>
      </c>
      <c r="B27" s="21" t="s">
        <v>128</v>
      </c>
      <c r="C27" s="21" t="s">
        <v>72</v>
      </c>
      <c r="D27" s="21" t="s">
        <v>100</v>
      </c>
      <c r="E27" s="21" t="s">
        <v>108</v>
      </c>
      <c r="F27" s="21" t="s">
        <v>66</v>
      </c>
      <c r="G27" s="22" t="s">
        <v>129</v>
      </c>
      <c r="H27" s="21" t="s">
        <v>68</v>
      </c>
      <c r="I27" s="21" t="s">
        <v>69</v>
      </c>
      <c r="J27" s="21" t="s">
        <v>70</v>
      </c>
      <c r="K27" s="21"/>
      <c r="L27" s="21"/>
    </row>
    <row r="28" customFormat="false" ht="42" hidden="false" customHeight="true" outlineLevel="0" collapsed="false">
      <c r="A28" s="27" t="n">
        <v>24</v>
      </c>
      <c r="B28" s="27" t="s">
        <v>130</v>
      </c>
      <c r="C28" s="27" t="s">
        <v>77</v>
      </c>
      <c r="D28" s="27" t="s">
        <v>100</v>
      </c>
      <c r="E28" s="27" t="s">
        <v>108</v>
      </c>
      <c r="F28" s="27" t="s">
        <v>91</v>
      </c>
      <c r="G28" s="28" t="s">
        <v>131</v>
      </c>
      <c r="H28" s="27" t="s">
        <v>93</v>
      </c>
      <c r="I28" s="27" t="s">
        <v>69</v>
      </c>
      <c r="J28" s="27" t="s">
        <v>70</v>
      </c>
      <c r="K28" s="27"/>
      <c r="L28" s="27"/>
    </row>
    <row r="29" customFormat="false" ht="42" hidden="false" customHeight="true" outlineLevel="0" collapsed="false">
      <c r="A29" s="21" t="n">
        <v>25</v>
      </c>
      <c r="B29" s="21" t="s">
        <v>132</v>
      </c>
      <c r="C29" s="21" t="s">
        <v>63</v>
      </c>
      <c r="D29" s="21" t="s">
        <v>133</v>
      </c>
      <c r="E29" s="21" t="s">
        <v>108</v>
      </c>
      <c r="F29" s="21" t="s">
        <v>66</v>
      </c>
      <c r="G29" s="22" t="s">
        <v>134</v>
      </c>
      <c r="H29" s="21" t="s">
        <v>68</v>
      </c>
      <c r="I29" s="21" t="s">
        <v>69</v>
      </c>
      <c r="J29" s="21" t="s">
        <v>70</v>
      </c>
      <c r="K29" s="21"/>
      <c r="L29" s="21"/>
    </row>
    <row r="30" customFormat="false" ht="19.5" hidden="false" customHeight="true" outlineLevel="0" collapsed="false">
      <c r="A30" s="20" t="s">
        <v>135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customFormat="false" ht="42" hidden="false" customHeight="true" outlineLevel="0" collapsed="false">
      <c r="A31" s="25" t="n">
        <v>26</v>
      </c>
      <c r="B31" s="25" t="s">
        <v>136</v>
      </c>
      <c r="C31" s="25" t="s">
        <v>72</v>
      </c>
      <c r="D31" s="25" t="s">
        <v>64</v>
      </c>
      <c r="E31" s="25" t="s">
        <v>137</v>
      </c>
      <c r="F31" s="25" t="s">
        <v>78</v>
      </c>
      <c r="G31" s="26" t="s">
        <v>138</v>
      </c>
      <c r="H31" s="25" t="s">
        <v>98</v>
      </c>
      <c r="I31" s="25" t="s">
        <v>69</v>
      </c>
      <c r="J31" s="25" t="s">
        <v>70</v>
      </c>
      <c r="K31" s="25"/>
      <c r="L31" s="25"/>
    </row>
    <row r="32" customFormat="false" ht="42" hidden="false" customHeight="true" outlineLevel="0" collapsed="false">
      <c r="A32" s="23" t="n">
        <v>27</v>
      </c>
      <c r="B32" s="23" t="s">
        <v>139</v>
      </c>
      <c r="C32" s="23" t="s">
        <v>77</v>
      </c>
      <c r="D32" s="23" t="s">
        <v>64</v>
      </c>
      <c r="E32" s="23" t="s">
        <v>137</v>
      </c>
      <c r="F32" s="23" t="s">
        <v>73</v>
      </c>
      <c r="G32" s="24" t="s">
        <v>140</v>
      </c>
      <c r="H32" s="23" t="s">
        <v>75</v>
      </c>
      <c r="I32" s="23" t="s">
        <v>69</v>
      </c>
      <c r="J32" s="23" t="s">
        <v>70</v>
      </c>
      <c r="K32" s="23"/>
      <c r="L32" s="23"/>
    </row>
    <row r="33" customFormat="false" ht="42" hidden="false" customHeight="true" outlineLevel="0" collapsed="false">
      <c r="A33" s="27" t="n">
        <v>28</v>
      </c>
      <c r="B33" s="27" t="s">
        <v>141</v>
      </c>
      <c r="C33" s="27" t="s">
        <v>63</v>
      </c>
      <c r="D33" s="27" t="s">
        <v>82</v>
      </c>
      <c r="E33" s="27" t="s">
        <v>137</v>
      </c>
      <c r="F33" s="27" t="s">
        <v>91</v>
      </c>
      <c r="G33" s="28" t="s">
        <v>142</v>
      </c>
      <c r="H33" s="27" t="s">
        <v>93</v>
      </c>
      <c r="I33" s="27" t="s">
        <v>69</v>
      </c>
      <c r="J33" s="27" t="s">
        <v>70</v>
      </c>
      <c r="K33" s="27"/>
      <c r="L33" s="27"/>
    </row>
    <row r="34" customFormat="false" ht="42" hidden="false" customHeight="true" outlineLevel="0" collapsed="false">
      <c r="A34" s="27" t="n">
        <v>29</v>
      </c>
      <c r="B34" s="27" t="s">
        <v>143</v>
      </c>
      <c r="C34" s="27" t="s">
        <v>144</v>
      </c>
      <c r="D34" s="27" t="s">
        <v>82</v>
      </c>
      <c r="E34" s="27" t="s">
        <v>137</v>
      </c>
      <c r="F34" s="27" t="s">
        <v>91</v>
      </c>
      <c r="G34" s="28" t="s">
        <v>145</v>
      </c>
      <c r="H34" s="27" t="s">
        <v>93</v>
      </c>
      <c r="I34" s="27" t="s">
        <v>69</v>
      </c>
      <c r="J34" s="27" t="s">
        <v>70</v>
      </c>
      <c r="K34" s="27"/>
      <c r="L34" s="27"/>
    </row>
    <row r="35" customFormat="false" ht="42" hidden="false" customHeight="true" outlineLevel="0" collapsed="false">
      <c r="A35" s="23" t="n">
        <v>30</v>
      </c>
      <c r="B35" s="23" t="s">
        <v>146</v>
      </c>
      <c r="C35" s="23" t="s">
        <v>72</v>
      </c>
      <c r="D35" s="23" t="s">
        <v>82</v>
      </c>
      <c r="E35" s="23" t="s">
        <v>137</v>
      </c>
      <c r="F35" s="23" t="s">
        <v>73</v>
      </c>
      <c r="G35" s="24" t="s">
        <v>147</v>
      </c>
      <c r="H35" s="23" t="s">
        <v>75</v>
      </c>
      <c r="I35" s="23" t="s">
        <v>69</v>
      </c>
      <c r="J35" s="23" t="s">
        <v>70</v>
      </c>
      <c r="K35" s="23"/>
      <c r="L35" s="23"/>
    </row>
    <row r="36" customFormat="false" ht="42" hidden="false" customHeight="true" outlineLevel="0" collapsed="false">
      <c r="A36" s="21" t="n">
        <v>31</v>
      </c>
      <c r="B36" s="21" t="s">
        <v>148</v>
      </c>
      <c r="C36" s="21" t="s">
        <v>77</v>
      </c>
      <c r="D36" s="21" t="s">
        <v>82</v>
      </c>
      <c r="E36" s="21" t="s">
        <v>137</v>
      </c>
      <c r="F36" s="21" t="s">
        <v>66</v>
      </c>
      <c r="G36" s="22" t="s">
        <v>149</v>
      </c>
      <c r="H36" s="21" t="s">
        <v>68</v>
      </c>
      <c r="I36" s="21" t="s">
        <v>69</v>
      </c>
      <c r="J36" s="21" t="s">
        <v>70</v>
      </c>
      <c r="K36" s="21"/>
      <c r="L36" s="21"/>
    </row>
    <row r="37" customFormat="false" ht="42" hidden="false" customHeight="true" outlineLevel="0" collapsed="false">
      <c r="A37" s="25" t="n">
        <v>32</v>
      </c>
      <c r="B37" s="25" t="s">
        <v>150</v>
      </c>
      <c r="C37" s="25" t="s">
        <v>63</v>
      </c>
      <c r="D37" s="25" t="s">
        <v>90</v>
      </c>
      <c r="E37" s="25" t="s">
        <v>137</v>
      </c>
      <c r="F37" s="25" t="s">
        <v>78</v>
      </c>
      <c r="G37" s="26" t="s">
        <v>151</v>
      </c>
      <c r="H37" s="25" t="s">
        <v>88</v>
      </c>
      <c r="I37" s="25" t="s">
        <v>69</v>
      </c>
      <c r="J37" s="25" t="s">
        <v>70</v>
      </c>
      <c r="K37" s="25"/>
      <c r="L37" s="25"/>
    </row>
    <row r="38" customFormat="false" ht="42" hidden="false" customHeight="true" outlineLevel="0" collapsed="false">
      <c r="A38" s="27" t="n">
        <v>33</v>
      </c>
      <c r="B38" s="27" t="s">
        <v>152</v>
      </c>
      <c r="C38" s="27" t="s">
        <v>63</v>
      </c>
      <c r="D38" s="27" t="s">
        <v>100</v>
      </c>
      <c r="E38" s="27" t="s">
        <v>137</v>
      </c>
      <c r="F38" s="27" t="s">
        <v>91</v>
      </c>
      <c r="G38" s="28" t="s">
        <v>153</v>
      </c>
      <c r="H38" s="27" t="s">
        <v>93</v>
      </c>
      <c r="I38" s="27" t="s">
        <v>69</v>
      </c>
      <c r="J38" s="27" t="s">
        <v>70</v>
      </c>
      <c r="K38" s="27"/>
      <c r="L38" s="27"/>
    </row>
    <row r="39" customFormat="false" ht="42" hidden="false" customHeight="true" outlineLevel="0" collapsed="false">
      <c r="A39" s="23" t="n">
        <v>34</v>
      </c>
      <c r="B39" s="23" t="s">
        <v>154</v>
      </c>
      <c r="C39" s="23" t="s">
        <v>72</v>
      </c>
      <c r="D39" s="23" t="s">
        <v>100</v>
      </c>
      <c r="E39" s="23" t="s">
        <v>137</v>
      </c>
      <c r="F39" s="23" t="s">
        <v>73</v>
      </c>
      <c r="G39" s="24" t="s">
        <v>155</v>
      </c>
      <c r="H39" s="23" t="s">
        <v>75</v>
      </c>
      <c r="I39" s="23" t="s">
        <v>69</v>
      </c>
      <c r="J39" s="23" t="s">
        <v>70</v>
      </c>
      <c r="K39" s="23"/>
      <c r="L39" s="23"/>
    </row>
    <row r="40" customFormat="false" ht="42" hidden="false" customHeight="true" outlineLevel="0" collapsed="false">
      <c r="A40" s="21" t="n">
        <v>35</v>
      </c>
      <c r="B40" s="21" t="s">
        <v>156</v>
      </c>
      <c r="C40" s="21" t="s">
        <v>77</v>
      </c>
      <c r="D40" s="21" t="s">
        <v>100</v>
      </c>
      <c r="E40" s="21" t="s">
        <v>137</v>
      </c>
      <c r="F40" s="21" t="s">
        <v>66</v>
      </c>
      <c r="G40" s="22" t="s">
        <v>157</v>
      </c>
      <c r="H40" s="21" t="s">
        <v>68</v>
      </c>
      <c r="I40" s="21" t="s">
        <v>69</v>
      </c>
      <c r="J40" s="21" t="s">
        <v>70</v>
      </c>
      <c r="K40" s="21"/>
      <c r="L40" s="21"/>
    </row>
    <row r="41" customFormat="false" ht="42" hidden="false" customHeight="true" outlineLevel="0" collapsed="false">
      <c r="A41" s="27" t="n">
        <v>36</v>
      </c>
      <c r="B41" s="27" t="s">
        <v>158</v>
      </c>
      <c r="C41" s="27" t="s">
        <v>63</v>
      </c>
      <c r="D41" s="27" t="s">
        <v>133</v>
      </c>
      <c r="E41" s="27" t="s">
        <v>137</v>
      </c>
      <c r="F41" s="27" t="s">
        <v>91</v>
      </c>
      <c r="G41" s="28" t="s">
        <v>159</v>
      </c>
      <c r="H41" s="27" t="s">
        <v>93</v>
      </c>
      <c r="I41" s="27" t="s">
        <v>69</v>
      </c>
      <c r="J41" s="27" t="s">
        <v>70</v>
      </c>
      <c r="K41" s="27"/>
      <c r="L41" s="27"/>
    </row>
    <row r="42" customFormat="false" ht="42" hidden="false" customHeight="true" outlineLevel="0" collapsed="false">
      <c r="A42" s="25" t="n">
        <v>37</v>
      </c>
      <c r="B42" s="25" t="s">
        <v>160</v>
      </c>
      <c r="C42" s="25" t="s">
        <v>72</v>
      </c>
      <c r="D42" s="25" t="s">
        <v>133</v>
      </c>
      <c r="E42" s="25" t="s">
        <v>137</v>
      </c>
      <c r="F42" s="25" t="s">
        <v>78</v>
      </c>
      <c r="G42" s="26" t="s">
        <v>161</v>
      </c>
      <c r="H42" s="25" t="s">
        <v>80</v>
      </c>
      <c r="I42" s="25" t="s">
        <v>69</v>
      </c>
      <c r="J42" s="25" t="s">
        <v>70</v>
      </c>
      <c r="K42" s="25"/>
      <c r="L42" s="25"/>
    </row>
    <row r="43" customFormat="false" ht="42" hidden="false" customHeight="true" outlineLevel="0" collapsed="false">
      <c r="A43" s="23" t="n">
        <v>38</v>
      </c>
      <c r="B43" s="23" t="s">
        <v>162</v>
      </c>
      <c r="C43" s="23" t="s">
        <v>77</v>
      </c>
      <c r="D43" s="23" t="s">
        <v>133</v>
      </c>
      <c r="E43" s="23" t="s">
        <v>137</v>
      </c>
      <c r="F43" s="23" t="s">
        <v>73</v>
      </c>
      <c r="G43" s="24" t="s">
        <v>163</v>
      </c>
      <c r="H43" s="23" t="s">
        <v>75</v>
      </c>
      <c r="I43" s="23" t="s">
        <v>69</v>
      </c>
      <c r="J43" s="23" t="s">
        <v>70</v>
      </c>
      <c r="K43" s="23"/>
      <c r="L43" s="23"/>
    </row>
    <row r="44" customFormat="false" ht="19.5" hidden="false" customHeight="true" outlineLevel="0" collapsed="false">
      <c r="A44" s="20" t="s">
        <v>164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customFormat="false" ht="42" hidden="false" customHeight="true" outlineLevel="0" collapsed="false">
      <c r="A45" s="27" t="n">
        <v>39</v>
      </c>
      <c r="B45" s="27" t="s">
        <v>165</v>
      </c>
      <c r="C45" s="27" t="s">
        <v>63</v>
      </c>
      <c r="D45" s="27" t="s">
        <v>64</v>
      </c>
      <c r="E45" s="27" t="s">
        <v>166</v>
      </c>
      <c r="F45" s="27" t="s">
        <v>91</v>
      </c>
      <c r="G45" s="28" t="s">
        <v>167</v>
      </c>
      <c r="H45" s="27" t="s">
        <v>93</v>
      </c>
      <c r="I45" s="27" t="s">
        <v>69</v>
      </c>
      <c r="J45" s="27" t="s">
        <v>70</v>
      </c>
      <c r="K45" s="27"/>
      <c r="L45" s="27"/>
    </row>
    <row r="46" customFormat="false" ht="42" hidden="false" customHeight="true" outlineLevel="0" collapsed="false">
      <c r="A46" s="23" t="n">
        <v>40</v>
      </c>
      <c r="B46" s="23" t="s">
        <v>168</v>
      </c>
      <c r="C46" s="23" t="s">
        <v>72</v>
      </c>
      <c r="D46" s="23" t="s">
        <v>64</v>
      </c>
      <c r="E46" s="23" t="s">
        <v>166</v>
      </c>
      <c r="F46" s="23" t="s">
        <v>73</v>
      </c>
      <c r="G46" s="24" t="s">
        <v>169</v>
      </c>
      <c r="H46" s="23" t="s">
        <v>75</v>
      </c>
      <c r="I46" s="23" t="s">
        <v>69</v>
      </c>
      <c r="J46" s="23" t="s">
        <v>70</v>
      </c>
      <c r="K46" s="23"/>
      <c r="L46" s="23"/>
    </row>
    <row r="47" customFormat="false" ht="42" hidden="false" customHeight="true" outlineLevel="0" collapsed="false">
      <c r="A47" s="25" t="n">
        <v>41</v>
      </c>
      <c r="B47" s="25" t="s">
        <v>170</v>
      </c>
      <c r="C47" s="25" t="s">
        <v>77</v>
      </c>
      <c r="D47" s="25" t="s">
        <v>64</v>
      </c>
      <c r="E47" s="25" t="s">
        <v>166</v>
      </c>
      <c r="F47" s="25" t="s">
        <v>78</v>
      </c>
      <c r="G47" s="26" t="s">
        <v>171</v>
      </c>
      <c r="H47" s="25" t="s">
        <v>98</v>
      </c>
      <c r="I47" s="25" t="s">
        <v>69</v>
      </c>
      <c r="J47" s="25" t="s">
        <v>70</v>
      </c>
      <c r="K47" s="25"/>
      <c r="L47" s="25"/>
    </row>
    <row r="48" customFormat="false" ht="42" hidden="false" customHeight="true" outlineLevel="0" collapsed="false">
      <c r="A48" s="21" t="n">
        <v>42</v>
      </c>
      <c r="B48" s="21" t="s">
        <v>172</v>
      </c>
      <c r="C48" s="21" t="s">
        <v>63</v>
      </c>
      <c r="D48" s="21" t="s">
        <v>82</v>
      </c>
      <c r="E48" s="21" t="s">
        <v>166</v>
      </c>
      <c r="F48" s="21" t="s">
        <v>66</v>
      </c>
      <c r="G48" s="22" t="s">
        <v>173</v>
      </c>
      <c r="H48" s="21" t="s">
        <v>68</v>
      </c>
      <c r="I48" s="21" t="s">
        <v>69</v>
      </c>
      <c r="J48" s="21" t="s">
        <v>70</v>
      </c>
      <c r="K48" s="21"/>
      <c r="L48" s="21"/>
    </row>
    <row r="49" customFormat="false" ht="42" hidden="false" customHeight="true" outlineLevel="0" collapsed="false">
      <c r="A49" s="23" t="n">
        <v>43</v>
      </c>
      <c r="B49" s="23" t="s">
        <v>174</v>
      </c>
      <c r="C49" s="23" t="s">
        <v>72</v>
      </c>
      <c r="D49" s="23" t="s">
        <v>82</v>
      </c>
      <c r="E49" s="23" t="s">
        <v>166</v>
      </c>
      <c r="F49" s="23" t="s">
        <v>73</v>
      </c>
      <c r="G49" s="24" t="s">
        <v>175</v>
      </c>
      <c r="H49" s="23" t="s">
        <v>75</v>
      </c>
      <c r="I49" s="23" t="s">
        <v>69</v>
      </c>
      <c r="J49" s="23" t="s">
        <v>70</v>
      </c>
      <c r="K49" s="23"/>
      <c r="L49" s="23"/>
    </row>
    <row r="50" customFormat="false" ht="42" hidden="false" customHeight="true" outlineLevel="0" collapsed="false">
      <c r="A50" s="25" t="n">
        <v>44</v>
      </c>
      <c r="B50" s="25" t="s">
        <v>176</v>
      </c>
      <c r="C50" s="25" t="s">
        <v>77</v>
      </c>
      <c r="D50" s="25" t="s">
        <v>82</v>
      </c>
      <c r="E50" s="25" t="s">
        <v>166</v>
      </c>
      <c r="F50" s="25" t="s">
        <v>78</v>
      </c>
      <c r="G50" s="26" t="s">
        <v>177</v>
      </c>
      <c r="H50" s="25" t="s">
        <v>88</v>
      </c>
      <c r="I50" s="25" t="s">
        <v>69</v>
      </c>
      <c r="J50" s="25" t="s">
        <v>70</v>
      </c>
      <c r="K50" s="25"/>
      <c r="L50" s="25"/>
    </row>
    <row r="51" customFormat="false" ht="42" hidden="false" customHeight="true" outlineLevel="0" collapsed="false">
      <c r="A51" s="27" t="n">
        <v>45</v>
      </c>
      <c r="B51" s="27" t="s">
        <v>178</v>
      </c>
      <c r="C51" s="27" t="s">
        <v>63</v>
      </c>
      <c r="D51" s="27" t="s">
        <v>90</v>
      </c>
      <c r="E51" s="27" t="s">
        <v>166</v>
      </c>
      <c r="F51" s="27" t="s">
        <v>91</v>
      </c>
      <c r="G51" s="28" t="s">
        <v>179</v>
      </c>
      <c r="H51" s="27" t="s">
        <v>93</v>
      </c>
      <c r="I51" s="27" t="s">
        <v>69</v>
      </c>
      <c r="J51" s="27" t="s">
        <v>70</v>
      </c>
      <c r="K51" s="27"/>
      <c r="L51" s="27"/>
    </row>
    <row r="52" customFormat="false" ht="42" hidden="false" customHeight="true" outlineLevel="0" collapsed="false">
      <c r="A52" s="23" t="n">
        <v>46</v>
      </c>
      <c r="B52" s="23" t="s">
        <v>180</v>
      </c>
      <c r="C52" s="23" t="s">
        <v>72</v>
      </c>
      <c r="D52" s="23" t="s">
        <v>90</v>
      </c>
      <c r="E52" s="23" t="s">
        <v>166</v>
      </c>
      <c r="F52" s="23" t="s">
        <v>73</v>
      </c>
      <c r="G52" s="24" t="s">
        <v>181</v>
      </c>
      <c r="H52" s="23" t="s">
        <v>75</v>
      </c>
      <c r="I52" s="23" t="s">
        <v>69</v>
      </c>
      <c r="J52" s="23" t="s">
        <v>70</v>
      </c>
      <c r="K52" s="23"/>
      <c r="L52" s="23"/>
    </row>
    <row r="53" customFormat="false" ht="42" hidden="false" customHeight="true" outlineLevel="0" collapsed="false">
      <c r="A53" s="25" t="n">
        <v>47</v>
      </c>
      <c r="B53" s="25" t="s">
        <v>182</v>
      </c>
      <c r="C53" s="25" t="s">
        <v>77</v>
      </c>
      <c r="D53" s="25" t="s">
        <v>90</v>
      </c>
      <c r="E53" s="25" t="s">
        <v>166</v>
      </c>
      <c r="F53" s="25" t="s">
        <v>78</v>
      </c>
      <c r="G53" s="26" t="s">
        <v>183</v>
      </c>
      <c r="H53" s="25" t="s">
        <v>98</v>
      </c>
      <c r="I53" s="25" t="s">
        <v>69</v>
      </c>
      <c r="J53" s="25" t="s">
        <v>70</v>
      </c>
      <c r="K53" s="25"/>
      <c r="L53" s="25"/>
    </row>
    <row r="54" customFormat="false" ht="42" hidden="false" customHeight="true" outlineLevel="0" collapsed="false">
      <c r="A54" s="21" t="n">
        <v>48</v>
      </c>
      <c r="B54" s="21" t="s">
        <v>184</v>
      </c>
      <c r="C54" s="21" t="s">
        <v>63</v>
      </c>
      <c r="D54" s="21" t="s">
        <v>100</v>
      </c>
      <c r="E54" s="21" t="s">
        <v>166</v>
      </c>
      <c r="F54" s="21" t="s">
        <v>66</v>
      </c>
      <c r="G54" s="22" t="s">
        <v>185</v>
      </c>
      <c r="H54" s="21" t="s">
        <v>68</v>
      </c>
      <c r="I54" s="21" t="s">
        <v>69</v>
      </c>
      <c r="J54" s="21" t="s">
        <v>70</v>
      </c>
      <c r="K54" s="21"/>
      <c r="L54" s="21"/>
    </row>
    <row r="55" customFormat="false" ht="42" hidden="false" customHeight="true" outlineLevel="0" collapsed="false">
      <c r="A55" s="23" t="n">
        <v>49</v>
      </c>
      <c r="B55" s="23" t="s">
        <v>186</v>
      </c>
      <c r="C55" s="23" t="s">
        <v>72</v>
      </c>
      <c r="D55" s="23" t="s">
        <v>100</v>
      </c>
      <c r="E55" s="23" t="s">
        <v>166</v>
      </c>
      <c r="F55" s="23" t="s">
        <v>73</v>
      </c>
      <c r="G55" s="24" t="s">
        <v>187</v>
      </c>
      <c r="H55" s="23" t="s">
        <v>75</v>
      </c>
      <c r="I55" s="23" t="s">
        <v>69</v>
      </c>
      <c r="J55" s="23" t="s">
        <v>70</v>
      </c>
      <c r="K55" s="23"/>
      <c r="L55" s="23"/>
    </row>
    <row r="56" customFormat="false" ht="42" hidden="false" customHeight="true" outlineLevel="0" collapsed="false">
      <c r="A56" s="25" t="n">
        <v>50</v>
      </c>
      <c r="B56" s="25" t="s">
        <v>188</v>
      </c>
      <c r="C56" s="25" t="s">
        <v>77</v>
      </c>
      <c r="D56" s="25" t="s">
        <v>100</v>
      </c>
      <c r="E56" s="25" t="s">
        <v>166</v>
      </c>
      <c r="F56" s="25" t="s">
        <v>78</v>
      </c>
      <c r="G56" s="26" t="s">
        <v>189</v>
      </c>
      <c r="H56" s="25" t="s">
        <v>88</v>
      </c>
      <c r="I56" s="25" t="s">
        <v>69</v>
      </c>
      <c r="J56" s="25" t="s">
        <v>70</v>
      </c>
      <c r="K56" s="25"/>
      <c r="L56" s="25"/>
    </row>
    <row r="57" customFormat="false" ht="19.5" hidden="false" customHeight="true" outlineLevel="0" collapsed="false">
      <c r="A57" s="20" t="s">
        <v>190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</row>
    <row r="58" customFormat="false" ht="42" hidden="false" customHeight="true" outlineLevel="0" collapsed="false">
      <c r="A58" s="23" t="n">
        <v>51</v>
      </c>
      <c r="B58" s="23" t="s">
        <v>191</v>
      </c>
      <c r="C58" s="23" t="s">
        <v>72</v>
      </c>
      <c r="D58" s="23" t="s">
        <v>64</v>
      </c>
      <c r="E58" s="23" t="s">
        <v>192</v>
      </c>
      <c r="F58" s="23" t="s">
        <v>73</v>
      </c>
      <c r="G58" s="24" t="s">
        <v>193</v>
      </c>
      <c r="H58" s="23" t="s">
        <v>75</v>
      </c>
      <c r="I58" s="23" t="s">
        <v>69</v>
      </c>
      <c r="J58" s="23" t="s">
        <v>70</v>
      </c>
      <c r="K58" s="23"/>
      <c r="L58" s="23"/>
    </row>
    <row r="59" customFormat="false" ht="42" hidden="false" customHeight="true" outlineLevel="0" collapsed="false">
      <c r="A59" s="25" t="n">
        <v>52</v>
      </c>
      <c r="B59" s="25" t="s">
        <v>194</v>
      </c>
      <c r="C59" s="25" t="s">
        <v>77</v>
      </c>
      <c r="D59" s="25" t="s">
        <v>64</v>
      </c>
      <c r="E59" s="25" t="s">
        <v>192</v>
      </c>
      <c r="F59" s="25" t="s">
        <v>78</v>
      </c>
      <c r="G59" s="26" t="s">
        <v>195</v>
      </c>
      <c r="H59" s="25" t="s">
        <v>98</v>
      </c>
      <c r="I59" s="25" t="s">
        <v>69</v>
      </c>
      <c r="J59" s="25" t="s">
        <v>70</v>
      </c>
      <c r="K59" s="25"/>
      <c r="L59" s="25"/>
    </row>
    <row r="60" customFormat="false" ht="42" hidden="false" customHeight="true" outlineLevel="0" collapsed="false">
      <c r="A60" s="21" t="n">
        <v>53</v>
      </c>
      <c r="B60" s="21" t="s">
        <v>196</v>
      </c>
      <c r="C60" s="21" t="s">
        <v>63</v>
      </c>
      <c r="D60" s="21" t="s">
        <v>82</v>
      </c>
      <c r="E60" s="21" t="s">
        <v>192</v>
      </c>
      <c r="F60" s="21" t="s">
        <v>66</v>
      </c>
      <c r="G60" s="22" t="s">
        <v>197</v>
      </c>
      <c r="H60" s="21" t="s">
        <v>68</v>
      </c>
      <c r="I60" s="21" t="s">
        <v>69</v>
      </c>
      <c r="J60" s="21" t="s">
        <v>70</v>
      </c>
      <c r="K60" s="21"/>
      <c r="L60" s="21"/>
    </row>
    <row r="61" customFormat="false" ht="42" hidden="false" customHeight="true" outlineLevel="0" collapsed="false">
      <c r="A61" s="23" t="n">
        <v>54</v>
      </c>
      <c r="B61" s="23" t="s">
        <v>198</v>
      </c>
      <c r="C61" s="23" t="s">
        <v>72</v>
      </c>
      <c r="D61" s="23" t="s">
        <v>82</v>
      </c>
      <c r="E61" s="23" t="s">
        <v>192</v>
      </c>
      <c r="F61" s="23" t="s">
        <v>73</v>
      </c>
      <c r="G61" s="24" t="s">
        <v>199</v>
      </c>
      <c r="H61" s="23" t="s">
        <v>75</v>
      </c>
      <c r="I61" s="23" t="s">
        <v>69</v>
      </c>
      <c r="J61" s="23" t="s">
        <v>70</v>
      </c>
      <c r="K61" s="23"/>
      <c r="L61" s="23"/>
    </row>
    <row r="62" customFormat="false" ht="42" hidden="false" customHeight="true" outlineLevel="0" collapsed="false">
      <c r="A62" s="25" t="n">
        <v>55</v>
      </c>
      <c r="B62" s="25" t="s">
        <v>200</v>
      </c>
      <c r="C62" s="25" t="s">
        <v>77</v>
      </c>
      <c r="D62" s="25" t="s">
        <v>82</v>
      </c>
      <c r="E62" s="25" t="s">
        <v>192</v>
      </c>
      <c r="F62" s="25" t="s">
        <v>78</v>
      </c>
      <c r="G62" s="26" t="s">
        <v>201</v>
      </c>
      <c r="H62" s="25" t="s">
        <v>88</v>
      </c>
      <c r="I62" s="25" t="s">
        <v>69</v>
      </c>
      <c r="J62" s="25" t="s">
        <v>70</v>
      </c>
      <c r="K62" s="25"/>
      <c r="L62" s="25"/>
    </row>
    <row r="63" customFormat="false" ht="42" hidden="false" customHeight="true" outlineLevel="0" collapsed="false">
      <c r="A63" s="21" t="n">
        <v>56</v>
      </c>
      <c r="B63" s="21" t="s">
        <v>202</v>
      </c>
      <c r="C63" s="21" t="s">
        <v>63</v>
      </c>
      <c r="D63" s="21" t="s">
        <v>90</v>
      </c>
      <c r="E63" s="21" t="s">
        <v>192</v>
      </c>
      <c r="F63" s="21" t="s">
        <v>66</v>
      </c>
      <c r="G63" s="22" t="s">
        <v>203</v>
      </c>
      <c r="H63" s="21" t="s">
        <v>68</v>
      </c>
      <c r="I63" s="21" t="s">
        <v>69</v>
      </c>
      <c r="J63" s="21" t="s">
        <v>70</v>
      </c>
      <c r="K63" s="21"/>
      <c r="L63" s="21"/>
    </row>
    <row r="64" customFormat="false" ht="42" hidden="false" customHeight="true" outlineLevel="0" collapsed="false">
      <c r="A64" s="23" t="n">
        <v>57</v>
      </c>
      <c r="B64" s="23" t="s">
        <v>204</v>
      </c>
      <c r="C64" s="23" t="s">
        <v>72</v>
      </c>
      <c r="D64" s="23" t="s">
        <v>90</v>
      </c>
      <c r="E64" s="23" t="s">
        <v>192</v>
      </c>
      <c r="F64" s="23" t="s">
        <v>73</v>
      </c>
      <c r="G64" s="24" t="s">
        <v>205</v>
      </c>
      <c r="H64" s="23" t="s">
        <v>75</v>
      </c>
      <c r="I64" s="23" t="s">
        <v>69</v>
      </c>
      <c r="J64" s="23" t="s">
        <v>70</v>
      </c>
      <c r="K64" s="23"/>
      <c r="L64" s="23"/>
    </row>
    <row r="65" customFormat="false" ht="42" hidden="false" customHeight="true" outlineLevel="0" collapsed="false">
      <c r="A65" s="25" t="n">
        <v>58</v>
      </c>
      <c r="B65" s="25" t="s">
        <v>206</v>
      </c>
      <c r="C65" s="25" t="s">
        <v>77</v>
      </c>
      <c r="D65" s="25" t="s">
        <v>90</v>
      </c>
      <c r="E65" s="25" t="s">
        <v>192</v>
      </c>
      <c r="F65" s="25" t="s">
        <v>78</v>
      </c>
      <c r="G65" s="26" t="s">
        <v>207</v>
      </c>
      <c r="H65" s="25" t="s">
        <v>98</v>
      </c>
      <c r="I65" s="25" t="s">
        <v>69</v>
      </c>
      <c r="J65" s="25" t="s">
        <v>70</v>
      </c>
      <c r="K65" s="25"/>
      <c r="L65" s="25"/>
    </row>
    <row r="66" customFormat="false" ht="42" hidden="false" customHeight="true" outlineLevel="0" collapsed="false">
      <c r="A66" s="21" t="n">
        <v>59</v>
      </c>
      <c r="B66" s="21" t="s">
        <v>208</v>
      </c>
      <c r="C66" s="21" t="s">
        <v>63</v>
      </c>
      <c r="D66" s="21" t="s">
        <v>100</v>
      </c>
      <c r="E66" s="21" t="s">
        <v>192</v>
      </c>
      <c r="F66" s="21" t="s">
        <v>66</v>
      </c>
      <c r="G66" s="22" t="s">
        <v>209</v>
      </c>
      <c r="H66" s="21" t="s">
        <v>68</v>
      </c>
      <c r="I66" s="21" t="s">
        <v>69</v>
      </c>
      <c r="J66" s="21" t="s">
        <v>70</v>
      </c>
      <c r="K66" s="21"/>
      <c r="L66" s="21"/>
    </row>
    <row r="67" customFormat="false" ht="42" hidden="false" customHeight="true" outlineLevel="0" collapsed="false">
      <c r="A67" s="23" t="n">
        <v>60</v>
      </c>
      <c r="B67" s="23" t="s">
        <v>210</v>
      </c>
      <c r="C67" s="23" t="s">
        <v>72</v>
      </c>
      <c r="D67" s="23" t="s">
        <v>100</v>
      </c>
      <c r="E67" s="23" t="s">
        <v>192</v>
      </c>
      <c r="F67" s="23" t="s">
        <v>73</v>
      </c>
      <c r="G67" s="24" t="s">
        <v>211</v>
      </c>
      <c r="H67" s="23" t="s">
        <v>75</v>
      </c>
      <c r="I67" s="23" t="s">
        <v>69</v>
      </c>
      <c r="J67" s="23" t="s">
        <v>70</v>
      </c>
      <c r="K67" s="23"/>
      <c r="L67" s="23"/>
    </row>
    <row r="68" customFormat="false" ht="42" hidden="false" customHeight="true" outlineLevel="0" collapsed="false">
      <c r="A68" s="25" t="n">
        <v>61</v>
      </c>
      <c r="B68" s="25" t="s">
        <v>212</v>
      </c>
      <c r="C68" s="25" t="s">
        <v>77</v>
      </c>
      <c r="D68" s="25" t="s">
        <v>100</v>
      </c>
      <c r="E68" s="25" t="s">
        <v>192</v>
      </c>
      <c r="F68" s="25" t="s">
        <v>78</v>
      </c>
      <c r="G68" s="26" t="s">
        <v>213</v>
      </c>
      <c r="H68" s="25" t="s">
        <v>80</v>
      </c>
      <c r="I68" s="25" t="s">
        <v>69</v>
      </c>
      <c r="J68" s="25" t="s">
        <v>70</v>
      </c>
      <c r="K68" s="25"/>
      <c r="L68" s="25"/>
    </row>
    <row r="69" customFormat="false" ht="42" hidden="false" customHeight="true" outlineLevel="0" collapsed="false">
      <c r="A69" s="23" t="n">
        <v>62</v>
      </c>
      <c r="B69" s="23" t="s">
        <v>214</v>
      </c>
      <c r="C69" s="23" t="s">
        <v>63</v>
      </c>
      <c r="D69" s="23" t="s">
        <v>133</v>
      </c>
      <c r="E69" s="23" t="s">
        <v>192</v>
      </c>
      <c r="F69" s="23" t="s">
        <v>73</v>
      </c>
      <c r="G69" s="24" t="s">
        <v>215</v>
      </c>
      <c r="H69" s="23" t="s">
        <v>75</v>
      </c>
      <c r="I69" s="23" t="s">
        <v>69</v>
      </c>
      <c r="J69" s="23" t="s">
        <v>70</v>
      </c>
      <c r="K69" s="23"/>
      <c r="L69" s="23"/>
    </row>
    <row r="70" customFormat="false" ht="19.5" hidden="false" customHeight="true" outlineLevel="0" collapsed="false">
      <c r="A70" s="20" t="s">
        <v>216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</row>
    <row r="71" customFormat="false" ht="42" hidden="false" customHeight="true" outlineLevel="0" collapsed="false">
      <c r="A71" s="21" t="n">
        <v>63</v>
      </c>
      <c r="B71" s="21" t="s">
        <v>217</v>
      </c>
      <c r="C71" s="21" t="s">
        <v>77</v>
      </c>
      <c r="D71" s="21" t="s">
        <v>64</v>
      </c>
      <c r="E71" s="21" t="s">
        <v>218</v>
      </c>
      <c r="F71" s="21" t="s">
        <v>66</v>
      </c>
      <c r="G71" s="22" t="s">
        <v>219</v>
      </c>
      <c r="H71" s="21" t="s">
        <v>68</v>
      </c>
      <c r="I71" s="21" t="s">
        <v>69</v>
      </c>
      <c r="J71" s="21" t="s">
        <v>70</v>
      </c>
      <c r="K71" s="21"/>
      <c r="L71" s="21"/>
    </row>
    <row r="72" customFormat="false" ht="42" hidden="false" customHeight="true" outlineLevel="0" collapsed="false">
      <c r="A72" s="25" t="n">
        <v>64</v>
      </c>
      <c r="B72" s="25" t="s">
        <v>220</v>
      </c>
      <c r="C72" s="25" t="s">
        <v>63</v>
      </c>
      <c r="D72" s="25" t="s">
        <v>82</v>
      </c>
      <c r="E72" s="25" t="s">
        <v>218</v>
      </c>
      <c r="F72" s="25" t="s">
        <v>78</v>
      </c>
      <c r="G72" s="26" t="s">
        <v>221</v>
      </c>
      <c r="H72" s="25" t="s">
        <v>98</v>
      </c>
      <c r="I72" s="25" t="s">
        <v>69</v>
      </c>
      <c r="J72" s="25" t="s">
        <v>70</v>
      </c>
      <c r="K72" s="25"/>
      <c r="L72" s="25"/>
    </row>
    <row r="73" customFormat="false" ht="42" hidden="false" customHeight="true" outlineLevel="0" collapsed="false">
      <c r="A73" s="21" t="n">
        <v>65</v>
      </c>
      <c r="B73" s="21" t="s">
        <v>222</v>
      </c>
      <c r="C73" s="21" t="s">
        <v>72</v>
      </c>
      <c r="D73" s="21" t="s">
        <v>82</v>
      </c>
      <c r="E73" s="21" t="s">
        <v>218</v>
      </c>
      <c r="F73" s="21" t="s">
        <v>66</v>
      </c>
      <c r="G73" s="22" t="s">
        <v>223</v>
      </c>
      <c r="H73" s="21" t="s">
        <v>68</v>
      </c>
      <c r="I73" s="21" t="s">
        <v>69</v>
      </c>
      <c r="J73" s="21" t="s">
        <v>70</v>
      </c>
      <c r="K73" s="21"/>
      <c r="L73" s="21"/>
    </row>
    <row r="74" customFormat="false" ht="42" hidden="false" customHeight="true" outlineLevel="0" collapsed="false">
      <c r="A74" s="23" t="n">
        <v>66</v>
      </c>
      <c r="B74" s="23" t="s">
        <v>224</v>
      </c>
      <c r="C74" s="23" t="s">
        <v>77</v>
      </c>
      <c r="D74" s="23" t="s">
        <v>82</v>
      </c>
      <c r="E74" s="23" t="s">
        <v>218</v>
      </c>
      <c r="F74" s="23" t="s">
        <v>73</v>
      </c>
      <c r="G74" s="24" t="s">
        <v>225</v>
      </c>
      <c r="H74" s="23" t="s">
        <v>75</v>
      </c>
      <c r="I74" s="23" t="s">
        <v>69</v>
      </c>
      <c r="J74" s="23" t="s">
        <v>70</v>
      </c>
      <c r="K74" s="23"/>
      <c r="L74" s="23"/>
    </row>
    <row r="75" customFormat="false" ht="42" hidden="false" customHeight="true" outlineLevel="0" collapsed="false">
      <c r="A75" s="25" t="n">
        <v>67</v>
      </c>
      <c r="B75" s="25" t="s">
        <v>226</v>
      </c>
      <c r="C75" s="25" t="s">
        <v>63</v>
      </c>
      <c r="D75" s="25" t="s">
        <v>90</v>
      </c>
      <c r="E75" s="25" t="s">
        <v>218</v>
      </c>
      <c r="F75" s="25" t="s">
        <v>78</v>
      </c>
      <c r="G75" s="26" t="s">
        <v>227</v>
      </c>
      <c r="H75" s="25" t="s">
        <v>88</v>
      </c>
      <c r="I75" s="25" t="s">
        <v>69</v>
      </c>
      <c r="J75" s="25" t="s">
        <v>70</v>
      </c>
      <c r="K75" s="25"/>
      <c r="L75" s="25"/>
    </row>
    <row r="76" customFormat="false" ht="42" hidden="false" customHeight="true" outlineLevel="0" collapsed="false">
      <c r="A76" s="23" t="n">
        <v>68</v>
      </c>
      <c r="B76" s="23" t="s">
        <v>228</v>
      </c>
      <c r="C76" s="23" t="s">
        <v>72</v>
      </c>
      <c r="D76" s="23" t="s">
        <v>90</v>
      </c>
      <c r="E76" s="23" t="s">
        <v>218</v>
      </c>
      <c r="F76" s="23" t="s">
        <v>73</v>
      </c>
      <c r="G76" s="24" t="s">
        <v>229</v>
      </c>
      <c r="H76" s="23" t="s">
        <v>75</v>
      </c>
      <c r="I76" s="23" t="s">
        <v>69</v>
      </c>
      <c r="J76" s="23" t="s">
        <v>70</v>
      </c>
      <c r="K76" s="23"/>
      <c r="L76" s="23"/>
    </row>
    <row r="77" customFormat="false" ht="42" hidden="false" customHeight="true" outlineLevel="0" collapsed="false">
      <c r="A77" s="21" t="n">
        <v>69</v>
      </c>
      <c r="B77" s="21" t="s">
        <v>230</v>
      </c>
      <c r="C77" s="21" t="s">
        <v>77</v>
      </c>
      <c r="D77" s="21" t="s">
        <v>90</v>
      </c>
      <c r="E77" s="21" t="s">
        <v>218</v>
      </c>
      <c r="F77" s="21" t="s">
        <v>66</v>
      </c>
      <c r="G77" s="22" t="s">
        <v>231</v>
      </c>
      <c r="H77" s="21" t="s">
        <v>68</v>
      </c>
      <c r="I77" s="21" t="s">
        <v>69</v>
      </c>
      <c r="J77" s="21" t="s">
        <v>70</v>
      </c>
      <c r="K77" s="21"/>
      <c r="L77" s="21"/>
    </row>
    <row r="78" customFormat="false" ht="42" hidden="false" customHeight="true" outlineLevel="0" collapsed="false">
      <c r="A78" s="25" t="n">
        <v>70</v>
      </c>
      <c r="B78" s="25" t="s">
        <v>232</v>
      </c>
      <c r="C78" s="25" t="s">
        <v>63</v>
      </c>
      <c r="D78" s="25" t="s">
        <v>100</v>
      </c>
      <c r="E78" s="25" t="s">
        <v>218</v>
      </c>
      <c r="F78" s="25" t="s">
        <v>78</v>
      </c>
      <c r="G78" s="26" t="s">
        <v>233</v>
      </c>
      <c r="H78" s="25" t="s">
        <v>80</v>
      </c>
      <c r="I78" s="25" t="s">
        <v>69</v>
      </c>
      <c r="J78" s="25" t="s">
        <v>70</v>
      </c>
      <c r="K78" s="25"/>
      <c r="L78" s="25"/>
    </row>
    <row r="79" customFormat="false" ht="42" hidden="false" customHeight="true" outlineLevel="0" collapsed="false">
      <c r="A79" s="23" t="n">
        <v>71</v>
      </c>
      <c r="B79" s="23" t="s">
        <v>234</v>
      </c>
      <c r="C79" s="23" t="s">
        <v>72</v>
      </c>
      <c r="D79" s="23" t="s">
        <v>100</v>
      </c>
      <c r="E79" s="23" t="s">
        <v>218</v>
      </c>
      <c r="F79" s="23" t="s">
        <v>73</v>
      </c>
      <c r="G79" s="24" t="s">
        <v>235</v>
      </c>
      <c r="H79" s="23" t="s">
        <v>75</v>
      </c>
      <c r="I79" s="23" t="s">
        <v>69</v>
      </c>
      <c r="J79" s="23" t="s">
        <v>70</v>
      </c>
      <c r="K79" s="23"/>
      <c r="L79" s="23"/>
    </row>
    <row r="80" customFormat="false" ht="42" hidden="false" customHeight="true" outlineLevel="0" collapsed="false">
      <c r="A80" s="25" t="n">
        <v>72</v>
      </c>
      <c r="B80" s="25" t="s">
        <v>236</v>
      </c>
      <c r="C80" s="25" t="s">
        <v>77</v>
      </c>
      <c r="D80" s="25" t="s">
        <v>100</v>
      </c>
      <c r="E80" s="25" t="s">
        <v>218</v>
      </c>
      <c r="F80" s="25" t="s">
        <v>78</v>
      </c>
      <c r="G80" s="26" t="s">
        <v>237</v>
      </c>
      <c r="H80" s="25" t="s">
        <v>98</v>
      </c>
      <c r="I80" s="25" t="s">
        <v>69</v>
      </c>
      <c r="J80" s="25" t="s">
        <v>70</v>
      </c>
      <c r="K80" s="25"/>
      <c r="L80" s="25"/>
    </row>
    <row r="81" customFormat="false" ht="42" hidden="false" customHeight="true" outlineLevel="0" collapsed="false">
      <c r="A81" s="23" t="n">
        <v>73</v>
      </c>
      <c r="B81" s="23" t="s">
        <v>238</v>
      </c>
      <c r="C81" s="23" t="s">
        <v>72</v>
      </c>
      <c r="D81" s="23" t="s">
        <v>133</v>
      </c>
      <c r="E81" s="23" t="s">
        <v>218</v>
      </c>
      <c r="F81" s="23" t="s">
        <v>73</v>
      </c>
      <c r="G81" s="24" t="s">
        <v>239</v>
      </c>
      <c r="H81" s="23" t="s">
        <v>75</v>
      </c>
      <c r="I81" s="23" t="s">
        <v>69</v>
      </c>
      <c r="J81" s="23" t="s">
        <v>70</v>
      </c>
      <c r="K81" s="23"/>
      <c r="L81" s="23"/>
    </row>
    <row r="82" customFormat="false" ht="42" hidden="false" customHeight="true" outlineLevel="0" collapsed="false">
      <c r="A82" s="21" t="n">
        <v>74</v>
      </c>
      <c r="B82" s="21" t="s">
        <v>240</v>
      </c>
      <c r="C82" s="21" t="s">
        <v>77</v>
      </c>
      <c r="D82" s="21" t="s">
        <v>133</v>
      </c>
      <c r="E82" s="21" t="s">
        <v>218</v>
      </c>
      <c r="F82" s="21" t="s">
        <v>66</v>
      </c>
      <c r="G82" s="22" t="s">
        <v>241</v>
      </c>
      <c r="H82" s="21" t="s">
        <v>68</v>
      </c>
      <c r="I82" s="21" t="s">
        <v>69</v>
      </c>
      <c r="J82" s="21" t="s">
        <v>70</v>
      </c>
      <c r="K82" s="21"/>
      <c r="L82" s="21"/>
    </row>
    <row r="83" customFormat="false" ht="19.5" hidden="false" customHeight="true" outlineLevel="0" collapsed="false">
      <c r="A83" s="20" t="s">
        <v>242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</row>
    <row r="84" customFormat="false" ht="42" hidden="false" customHeight="true" outlineLevel="0" collapsed="false">
      <c r="A84" s="25" t="n">
        <v>75</v>
      </c>
      <c r="B84" s="25" t="s">
        <v>243</v>
      </c>
      <c r="C84" s="25" t="s">
        <v>63</v>
      </c>
      <c r="D84" s="25" t="s">
        <v>64</v>
      </c>
      <c r="E84" s="25" t="s">
        <v>244</v>
      </c>
      <c r="F84" s="25" t="s">
        <v>78</v>
      </c>
      <c r="G84" s="26" t="s">
        <v>245</v>
      </c>
      <c r="H84" s="25" t="s">
        <v>98</v>
      </c>
      <c r="I84" s="25" t="s">
        <v>69</v>
      </c>
      <c r="J84" s="25" t="s">
        <v>70</v>
      </c>
      <c r="K84" s="25"/>
      <c r="L84" s="25"/>
    </row>
    <row r="85" customFormat="false" ht="42" hidden="false" customHeight="true" outlineLevel="0" collapsed="false">
      <c r="A85" s="23" t="n">
        <v>76</v>
      </c>
      <c r="B85" s="23" t="s">
        <v>246</v>
      </c>
      <c r="C85" s="23" t="s">
        <v>72</v>
      </c>
      <c r="D85" s="23" t="s">
        <v>64</v>
      </c>
      <c r="E85" s="23" t="s">
        <v>244</v>
      </c>
      <c r="F85" s="23" t="s">
        <v>73</v>
      </c>
      <c r="G85" s="24" t="s">
        <v>247</v>
      </c>
      <c r="H85" s="23" t="s">
        <v>75</v>
      </c>
      <c r="I85" s="23" t="s">
        <v>69</v>
      </c>
      <c r="J85" s="23" t="s">
        <v>70</v>
      </c>
      <c r="K85" s="23"/>
      <c r="L85" s="23"/>
    </row>
    <row r="86" customFormat="false" ht="42" hidden="false" customHeight="true" outlineLevel="0" collapsed="false">
      <c r="A86" s="21" t="n">
        <v>77</v>
      </c>
      <c r="B86" s="21" t="s">
        <v>248</v>
      </c>
      <c r="C86" s="21" t="s">
        <v>77</v>
      </c>
      <c r="D86" s="21" t="s">
        <v>64</v>
      </c>
      <c r="E86" s="21" t="s">
        <v>244</v>
      </c>
      <c r="F86" s="21" t="s">
        <v>66</v>
      </c>
      <c r="G86" s="22" t="s">
        <v>249</v>
      </c>
      <c r="H86" s="21" t="s">
        <v>68</v>
      </c>
      <c r="I86" s="21" t="s">
        <v>69</v>
      </c>
      <c r="J86" s="21" t="s">
        <v>70</v>
      </c>
      <c r="K86" s="21"/>
      <c r="L86" s="21"/>
    </row>
    <row r="87" customFormat="false" ht="42" hidden="false" customHeight="true" outlineLevel="0" collapsed="false">
      <c r="A87" s="25" t="n">
        <v>78</v>
      </c>
      <c r="B87" s="25" t="s">
        <v>250</v>
      </c>
      <c r="C87" s="25" t="s">
        <v>63</v>
      </c>
      <c r="D87" s="25" t="s">
        <v>82</v>
      </c>
      <c r="E87" s="25" t="s">
        <v>244</v>
      </c>
      <c r="F87" s="25" t="s">
        <v>78</v>
      </c>
      <c r="G87" s="26" t="s">
        <v>251</v>
      </c>
      <c r="H87" s="25" t="s">
        <v>88</v>
      </c>
      <c r="I87" s="25" t="s">
        <v>69</v>
      </c>
      <c r="J87" s="25" t="s">
        <v>70</v>
      </c>
      <c r="K87" s="25"/>
      <c r="L87" s="25"/>
    </row>
    <row r="88" customFormat="false" ht="42" hidden="false" customHeight="true" outlineLevel="0" collapsed="false">
      <c r="A88" s="23" t="n">
        <v>79</v>
      </c>
      <c r="B88" s="23" t="s">
        <v>252</v>
      </c>
      <c r="C88" s="23" t="s">
        <v>72</v>
      </c>
      <c r="D88" s="23" t="s">
        <v>82</v>
      </c>
      <c r="E88" s="23" t="s">
        <v>244</v>
      </c>
      <c r="F88" s="23" t="s">
        <v>73</v>
      </c>
      <c r="G88" s="24" t="s">
        <v>253</v>
      </c>
      <c r="H88" s="23" t="s">
        <v>75</v>
      </c>
      <c r="I88" s="23" t="s">
        <v>69</v>
      </c>
      <c r="J88" s="23" t="s">
        <v>70</v>
      </c>
      <c r="K88" s="23"/>
      <c r="L88" s="23"/>
    </row>
    <row r="89" customFormat="false" ht="42" hidden="false" customHeight="true" outlineLevel="0" collapsed="false">
      <c r="A89" s="21" t="n">
        <v>80</v>
      </c>
      <c r="B89" s="21" t="s">
        <v>254</v>
      </c>
      <c r="C89" s="21" t="s">
        <v>77</v>
      </c>
      <c r="D89" s="21" t="s">
        <v>82</v>
      </c>
      <c r="E89" s="21" t="s">
        <v>244</v>
      </c>
      <c r="F89" s="21" t="s">
        <v>66</v>
      </c>
      <c r="G89" s="22" t="s">
        <v>255</v>
      </c>
      <c r="H89" s="21" t="s">
        <v>68</v>
      </c>
      <c r="I89" s="21" t="s">
        <v>69</v>
      </c>
      <c r="J89" s="21" t="s">
        <v>70</v>
      </c>
      <c r="K89" s="21"/>
      <c r="L89" s="21"/>
    </row>
    <row r="90" customFormat="false" ht="42" hidden="false" customHeight="true" outlineLevel="0" collapsed="false">
      <c r="A90" s="25" t="n">
        <v>81</v>
      </c>
      <c r="B90" s="25" t="s">
        <v>256</v>
      </c>
      <c r="C90" s="25" t="s">
        <v>63</v>
      </c>
      <c r="D90" s="25" t="s">
        <v>90</v>
      </c>
      <c r="E90" s="25" t="s">
        <v>244</v>
      </c>
      <c r="F90" s="25" t="s">
        <v>78</v>
      </c>
      <c r="G90" s="26" t="s">
        <v>257</v>
      </c>
      <c r="H90" s="25" t="s">
        <v>98</v>
      </c>
      <c r="I90" s="25" t="s">
        <v>69</v>
      </c>
      <c r="J90" s="25" t="s">
        <v>70</v>
      </c>
      <c r="K90" s="25"/>
      <c r="L90" s="25"/>
    </row>
    <row r="91" customFormat="false" ht="42" hidden="false" customHeight="true" outlineLevel="0" collapsed="false">
      <c r="A91" s="23" t="n">
        <v>82</v>
      </c>
      <c r="B91" s="23" t="s">
        <v>258</v>
      </c>
      <c r="C91" s="23" t="s">
        <v>72</v>
      </c>
      <c r="D91" s="23" t="s">
        <v>90</v>
      </c>
      <c r="E91" s="23" t="s">
        <v>244</v>
      </c>
      <c r="F91" s="23" t="s">
        <v>73</v>
      </c>
      <c r="G91" s="24" t="s">
        <v>259</v>
      </c>
      <c r="H91" s="23" t="s">
        <v>75</v>
      </c>
      <c r="I91" s="23" t="s">
        <v>69</v>
      </c>
      <c r="J91" s="23" t="s">
        <v>70</v>
      </c>
      <c r="K91" s="23"/>
      <c r="L91" s="23"/>
    </row>
    <row r="92" customFormat="false" ht="42" hidden="false" customHeight="true" outlineLevel="0" collapsed="false">
      <c r="A92" s="21" t="n">
        <v>83</v>
      </c>
      <c r="B92" s="21" t="s">
        <v>260</v>
      </c>
      <c r="C92" s="21" t="s">
        <v>77</v>
      </c>
      <c r="D92" s="21" t="s">
        <v>90</v>
      </c>
      <c r="E92" s="21" t="s">
        <v>244</v>
      </c>
      <c r="F92" s="21" t="s">
        <v>66</v>
      </c>
      <c r="G92" s="22" t="s">
        <v>261</v>
      </c>
      <c r="H92" s="21" t="s">
        <v>68</v>
      </c>
      <c r="I92" s="21" t="s">
        <v>69</v>
      </c>
      <c r="J92" s="21" t="s">
        <v>70</v>
      </c>
      <c r="K92" s="21"/>
      <c r="L92" s="21"/>
    </row>
    <row r="93" customFormat="false" ht="42" hidden="false" customHeight="true" outlineLevel="0" collapsed="false">
      <c r="A93" s="25" t="n">
        <v>84</v>
      </c>
      <c r="B93" s="25" t="s">
        <v>262</v>
      </c>
      <c r="C93" s="25" t="s">
        <v>63</v>
      </c>
      <c r="D93" s="25" t="s">
        <v>100</v>
      </c>
      <c r="E93" s="25" t="s">
        <v>244</v>
      </c>
      <c r="F93" s="25" t="s">
        <v>78</v>
      </c>
      <c r="G93" s="26" t="s">
        <v>263</v>
      </c>
      <c r="H93" s="25" t="s">
        <v>80</v>
      </c>
      <c r="I93" s="25" t="s">
        <v>69</v>
      </c>
      <c r="J93" s="25" t="s">
        <v>70</v>
      </c>
      <c r="K93" s="25"/>
      <c r="L93" s="25"/>
    </row>
    <row r="94" customFormat="false" ht="42" hidden="false" customHeight="true" outlineLevel="0" collapsed="false">
      <c r="A94" s="23" t="n">
        <v>85</v>
      </c>
      <c r="B94" s="23" t="s">
        <v>264</v>
      </c>
      <c r="C94" s="23" t="s">
        <v>72</v>
      </c>
      <c r="D94" s="23" t="s">
        <v>100</v>
      </c>
      <c r="E94" s="23" t="s">
        <v>244</v>
      </c>
      <c r="F94" s="23" t="s">
        <v>73</v>
      </c>
      <c r="G94" s="24" t="s">
        <v>265</v>
      </c>
      <c r="H94" s="23" t="s">
        <v>75</v>
      </c>
      <c r="I94" s="23" t="s">
        <v>69</v>
      </c>
      <c r="J94" s="23" t="s">
        <v>70</v>
      </c>
      <c r="K94" s="23"/>
      <c r="L94" s="23"/>
    </row>
    <row r="95" customFormat="false" ht="42" hidden="false" customHeight="true" outlineLevel="0" collapsed="false">
      <c r="A95" s="21" t="n">
        <v>86</v>
      </c>
      <c r="B95" s="21" t="s">
        <v>266</v>
      </c>
      <c r="C95" s="21" t="s">
        <v>77</v>
      </c>
      <c r="D95" s="21" t="s">
        <v>100</v>
      </c>
      <c r="E95" s="21" t="s">
        <v>244</v>
      </c>
      <c r="F95" s="21" t="s">
        <v>66</v>
      </c>
      <c r="G95" s="22" t="s">
        <v>267</v>
      </c>
      <c r="H95" s="21" t="s">
        <v>68</v>
      </c>
      <c r="I95" s="21" t="s">
        <v>69</v>
      </c>
      <c r="J95" s="21" t="s">
        <v>70</v>
      </c>
      <c r="K95" s="21"/>
      <c r="L95" s="21"/>
    </row>
    <row r="96" customFormat="false" ht="19.5" hidden="false" customHeight="true" outlineLevel="0" collapsed="false">
      <c r="A96" s="20" t="s">
        <v>268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</row>
    <row r="97" customFormat="false" ht="42" hidden="false" customHeight="true" outlineLevel="0" collapsed="false">
      <c r="A97" s="25" t="n">
        <v>87</v>
      </c>
      <c r="B97" s="25" t="s">
        <v>269</v>
      </c>
      <c r="C97" s="25" t="s">
        <v>72</v>
      </c>
      <c r="D97" s="25" t="s">
        <v>64</v>
      </c>
      <c r="E97" s="25" t="s">
        <v>270</v>
      </c>
      <c r="F97" s="25" t="s">
        <v>78</v>
      </c>
      <c r="G97" s="26" t="s">
        <v>271</v>
      </c>
      <c r="H97" s="25" t="s">
        <v>80</v>
      </c>
      <c r="I97" s="25" t="s">
        <v>69</v>
      </c>
      <c r="J97" s="25" t="s">
        <v>70</v>
      </c>
      <c r="K97" s="25"/>
      <c r="L97" s="25"/>
    </row>
    <row r="98" customFormat="false" ht="42" hidden="false" customHeight="true" outlineLevel="0" collapsed="false">
      <c r="A98" s="23" t="n">
        <v>88</v>
      </c>
      <c r="B98" s="23" t="s">
        <v>272</v>
      </c>
      <c r="C98" s="23" t="s">
        <v>77</v>
      </c>
      <c r="D98" s="23" t="s">
        <v>64</v>
      </c>
      <c r="E98" s="23" t="s">
        <v>270</v>
      </c>
      <c r="F98" s="23" t="s">
        <v>73</v>
      </c>
      <c r="G98" s="24" t="s">
        <v>273</v>
      </c>
      <c r="H98" s="23" t="s">
        <v>75</v>
      </c>
      <c r="I98" s="23" t="s">
        <v>69</v>
      </c>
      <c r="J98" s="23" t="s">
        <v>70</v>
      </c>
      <c r="K98" s="23"/>
      <c r="L98" s="23"/>
    </row>
    <row r="99" customFormat="false" ht="42" hidden="false" customHeight="true" outlineLevel="0" collapsed="false">
      <c r="A99" s="21" t="n">
        <v>89</v>
      </c>
      <c r="B99" s="21" t="s">
        <v>274</v>
      </c>
      <c r="C99" s="21" t="s">
        <v>63</v>
      </c>
      <c r="D99" s="21" t="s">
        <v>82</v>
      </c>
      <c r="E99" s="21" t="s">
        <v>270</v>
      </c>
      <c r="F99" s="21" t="s">
        <v>66</v>
      </c>
      <c r="G99" s="22" t="s">
        <v>275</v>
      </c>
      <c r="H99" s="21" t="s">
        <v>68</v>
      </c>
      <c r="I99" s="21" t="s">
        <v>69</v>
      </c>
      <c r="J99" s="21" t="s">
        <v>70</v>
      </c>
      <c r="K99" s="21"/>
      <c r="L99" s="21"/>
    </row>
    <row r="100" customFormat="false" ht="42" hidden="false" customHeight="true" outlineLevel="0" collapsed="false">
      <c r="A100" s="21" t="n">
        <v>90</v>
      </c>
      <c r="B100" s="21" t="s">
        <v>276</v>
      </c>
      <c r="C100" s="21" t="s">
        <v>72</v>
      </c>
      <c r="D100" s="21" t="s">
        <v>82</v>
      </c>
      <c r="E100" s="21" t="s">
        <v>270</v>
      </c>
      <c r="F100" s="21" t="s">
        <v>66</v>
      </c>
      <c r="G100" s="22" t="s">
        <v>277</v>
      </c>
      <c r="H100" s="21" t="s">
        <v>68</v>
      </c>
      <c r="I100" s="21" t="s">
        <v>69</v>
      </c>
      <c r="J100" s="21" t="s">
        <v>70</v>
      </c>
      <c r="K100" s="21"/>
      <c r="L100" s="21"/>
    </row>
    <row r="101" customFormat="false" ht="42" hidden="false" customHeight="true" outlineLevel="0" collapsed="false">
      <c r="A101" s="25" t="n">
        <v>91</v>
      </c>
      <c r="B101" s="25" t="s">
        <v>278</v>
      </c>
      <c r="C101" s="25" t="s">
        <v>77</v>
      </c>
      <c r="D101" s="25" t="s">
        <v>82</v>
      </c>
      <c r="E101" s="25" t="s">
        <v>270</v>
      </c>
      <c r="F101" s="25" t="s">
        <v>78</v>
      </c>
      <c r="G101" s="26" t="s">
        <v>279</v>
      </c>
      <c r="H101" s="25" t="s">
        <v>88</v>
      </c>
      <c r="I101" s="25" t="s">
        <v>69</v>
      </c>
      <c r="J101" s="25" t="s">
        <v>70</v>
      </c>
      <c r="K101" s="25"/>
      <c r="L101" s="25"/>
    </row>
    <row r="102" customFormat="false" ht="42" hidden="false" customHeight="true" outlineLevel="0" collapsed="false">
      <c r="A102" s="23" t="n">
        <v>92</v>
      </c>
      <c r="B102" s="23" t="s">
        <v>280</v>
      </c>
      <c r="C102" s="23" t="s">
        <v>63</v>
      </c>
      <c r="D102" s="23" t="s">
        <v>90</v>
      </c>
      <c r="E102" s="23" t="s">
        <v>270</v>
      </c>
      <c r="F102" s="23" t="s">
        <v>73</v>
      </c>
      <c r="G102" s="24" t="s">
        <v>281</v>
      </c>
      <c r="H102" s="23" t="s">
        <v>75</v>
      </c>
      <c r="I102" s="23" t="s">
        <v>69</v>
      </c>
      <c r="J102" s="23" t="s">
        <v>70</v>
      </c>
      <c r="K102" s="23"/>
      <c r="L102" s="23"/>
    </row>
    <row r="103" customFormat="false" ht="42" hidden="false" customHeight="true" outlineLevel="0" collapsed="false">
      <c r="A103" s="25" t="n">
        <v>93</v>
      </c>
      <c r="B103" s="25" t="s">
        <v>282</v>
      </c>
      <c r="C103" s="25" t="s">
        <v>72</v>
      </c>
      <c r="D103" s="25" t="s">
        <v>90</v>
      </c>
      <c r="E103" s="25" t="s">
        <v>270</v>
      </c>
      <c r="F103" s="25" t="s">
        <v>78</v>
      </c>
      <c r="G103" s="26" t="s">
        <v>283</v>
      </c>
      <c r="H103" s="25" t="s">
        <v>88</v>
      </c>
      <c r="I103" s="25" t="s">
        <v>69</v>
      </c>
      <c r="J103" s="25" t="s">
        <v>70</v>
      </c>
      <c r="K103" s="25"/>
      <c r="L103" s="25"/>
    </row>
    <row r="104" customFormat="false" ht="42" hidden="false" customHeight="true" outlineLevel="0" collapsed="false">
      <c r="A104" s="23" t="n">
        <v>94</v>
      </c>
      <c r="B104" s="23" t="s">
        <v>284</v>
      </c>
      <c r="C104" s="23" t="s">
        <v>77</v>
      </c>
      <c r="D104" s="23" t="s">
        <v>90</v>
      </c>
      <c r="E104" s="23" t="s">
        <v>270</v>
      </c>
      <c r="F104" s="23" t="s">
        <v>73</v>
      </c>
      <c r="G104" s="24" t="s">
        <v>285</v>
      </c>
      <c r="H104" s="23" t="s">
        <v>286</v>
      </c>
      <c r="I104" s="23" t="s">
        <v>69</v>
      </c>
      <c r="J104" s="23" t="s">
        <v>70</v>
      </c>
      <c r="K104" s="23"/>
      <c r="L104" s="23"/>
    </row>
    <row r="105" customFormat="false" ht="42" hidden="false" customHeight="true" outlineLevel="0" collapsed="false">
      <c r="A105" s="21" t="n">
        <v>95</v>
      </c>
      <c r="B105" s="21" t="s">
        <v>287</v>
      </c>
      <c r="C105" s="21" t="s">
        <v>63</v>
      </c>
      <c r="D105" s="21" t="s">
        <v>100</v>
      </c>
      <c r="E105" s="21" t="s">
        <v>270</v>
      </c>
      <c r="F105" s="21" t="s">
        <v>66</v>
      </c>
      <c r="G105" s="22" t="s">
        <v>288</v>
      </c>
      <c r="H105" s="21" t="s">
        <v>68</v>
      </c>
      <c r="I105" s="21" t="s">
        <v>69</v>
      </c>
      <c r="J105" s="21" t="s">
        <v>70</v>
      </c>
      <c r="K105" s="21"/>
      <c r="L105" s="21"/>
    </row>
    <row r="106" customFormat="false" ht="42" hidden="false" customHeight="true" outlineLevel="0" collapsed="false">
      <c r="A106" s="23" t="n">
        <v>96</v>
      </c>
      <c r="B106" s="23" t="s">
        <v>289</v>
      </c>
      <c r="C106" s="23" t="s">
        <v>72</v>
      </c>
      <c r="D106" s="23" t="s">
        <v>100</v>
      </c>
      <c r="E106" s="23" t="s">
        <v>270</v>
      </c>
      <c r="F106" s="23" t="s">
        <v>73</v>
      </c>
      <c r="G106" s="24" t="s">
        <v>290</v>
      </c>
      <c r="H106" s="23" t="s">
        <v>291</v>
      </c>
      <c r="I106" s="23" t="s">
        <v>69</v>
      </c>
      <c r="J106" s="23" t="s">
        <v>70</v>
      </c>
      <c r="K106" s="23"/>
      <c r="L106" s="23"/>
    </row>
    <row r="107" customFormat="false" ht="42" hidden="false" customHeight="true" outlineLevel="0" collapsed="false">
      <c r="A107" s="21" t="n">
        <v>97</v>
      </c>
      <c r="B107" s="21" t="s">
        <v>292</v>
      </c>
      <c r="C107" s="21" t="s">
        <v>77</v>
      </c>
      <c r="D107" s="21" t="s">
        <v>100</v>
      </c>
      <c r="E107" s="21" t="s">
        <v>270</v>
      </c>
      <c r="F107" s="21" t="s">
        <v>66</v>
      </c>
      <c r="G107" s="22" t="s">
        <v>293</v>
      </c>
      <c r="H107" s="21" t="s">
        <v>68</v>
      </c>
      <c r="I107" s="21" t="s">
        <v>69</v>
      </c>
      <c r="J107" s="21" t="s">
        <v>70</v>
      </c>
      <c r="K107" s="21"/>
      <c r="L107" s="21"/>
    </row>
    <row r="108" customFormat="false" ht="42" hidden="false" customHeight="true" outlineLevel="0" collapsed="false">
      <c r="A108" s="23" t="n">
        <v>98</v>
      </c>
      <c r="B108" s="23" t="s">
        <v>294</v>
      </c>
      <c r="C108" s="23" t="s">
        <v>72</v>
      </c>
      <c r="D108" s="23" t="s">
        <v>133</v>
      </c>
      <c r="E108" s="23" t="s">
        <v>270</v>
      </c>
      <c r="F108" s="23" t="s">
        <v>73</v>
      </c>
      <c r="G108" s="24" t="s">
        <v>295</v>
      </c>
      <c r="H108" s="23" t="s">
        <v>291</v>
      </c>
      <c r="I108" s="23" t="s">
        <v>69</v>
      </c>
      <c r="J108" s="23" t="s">
        <v>70</v>
      </c>
      <c r="K108" s="23"/>
      <c r="L108" s="23"/>
    </row>
  </sheetData>
  <mergeCells count="9">
    <mergeCell ref="A1:L1"/>
    <mergeCell ref="A3:L3"/>
    <mergeCell ref="A16:L16"/>
    <mergeCell ref="A30:L30"/>
    <mergeCell ref="A44:L44"/>
    <mergeCell ref="A57:L57"/>
    <mergeCell ref="A70:L70"/>
    <mergeCell ref="A83:L83"/>
    <mergeCell ref="A96:L9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22"/>
  </cols>
  <sheetData>
    <row r="1" customFormat="false" ht="25.5" hidden="false" customHeight="true" outlineLevel="0" collapsed="false">
      <c r="A1" s="18" t="s">
        <v>296</v>
      </c>
      <c r="B1" s="18"/>
      <c r="C1" s="18"/>
      <c r="D1" s="18"/>
    </row>
    <row r="2" customFormat="false" ht="14.25" hidden="false" customHeight="false" outlineLevel="0" collapsed="false">
      <c r="A2" s="29" t="s">
        <v>297</v>
      </c>
    </row>
    <row r="4" customFormat="false" ht="14.25" hidden="false" customHeight="false" outlineLevel="0" collapsed="false">
      <c r="A4" s="30" t="s">
        <v>298</v>
      </c>
    </row>
    <row r="5" customFormat="false" ht="14.25" hidden="false" customHeight="false" outlineLevel="0" collapsed="false">
      <c r="A5" s="31" t="s">
        <v>54</v>
      </c>
      <c r="B5" s="31" t="s">
        <v>299</v>
      </c>
      <c r="C5" s="31" t="s">
        <v>300</v>
      </c>
      <c r="D5" s="31" t="s">
        <v>301</v>
      </c>
    </row>
    <row r="6" customFormat="false" ht="14.25" hidden="false" customHeight="false" outlineLevel="0" collapsed="false">
      <c r="A6" s="32" t="s">
        <v>73</v>
      </c>
      <c r="B6" s="33" t="n">
        <v>33</v>
      </c>
      <c r="C6" s="33" t="s">
        <v>302</v>
      </c>
      <c r="D6" s="34"/>
    </row>
    <row r="7" customFormat="false" ht="14.25" hidden="false" customHeight="false" outlineLevel="0" collapsed="false">
      <c r="A7" s="35" t="s">
        <v>78</v>
      </c>
      <c r="B7" s="36" t="n">
        <v>28</v>
      </c>
      <c r="C7" s="36" t="s">
        <v>303</v>
      </c>
      <c r="D7" s="37"/>
    </row>
    <row r="8" customFormat="false" ht="14.25" hidden="false" customHeight="false" outlineLevel="0" collapsed="false">
      <c r="A8" s="38" t="s">
        <v>66</v>
      </c>
      <c r="B8" s="39" t="n">
        <v>26</v>
      </c>
      <c r="C8" s="39" t="s">
        <v>304</v>
      </c>
      <c r="D8" s="40"/>
    </row>
    <row r="9" customFormat="false" ht="14.25" hidden="false" customHeight="false" outlineLevel="0" collapsed="false">
      <c r="A9" s="41" t="s">
        <v>91</v>
      </c>
      <c r="B9" s="42" t="n">
        <v>11</v>
      </c>
      <c r="C9" s="42" t="s">
        <v>305</v>
      </c>
      <c r="D9" s="43"/>
    </row>
    <row r="10" customFormat="false" ht="14.25" hidden="false" customHeight="false" outlineLevel="0" collapsed="false">
      <c r="A10" s="29" t="s">
        <v>306</v>
      </c>
      <c r="B10" s="44" t="n">
        <v>98</v>
      </c>
      <c r="C10" s="45" t="s">
        <v>307</v>
      </c>
    </row>
    <row r="12" customFormat="false" ht="14.25" hidden="false" customHeight="false" outlineLevel="0" collapsed="false">
      <c r="A12" s="46" t="s">
        <v>308</v>
      </c>
      <c r="B12" s="46"/>
      <c r="C12" s="46"/>
      <c r="D12" s="46"/>
    </row>
    <row r="13" customFormat="false" ht="14.25" hidden="false" customHeight="false" outlineLevel="0" collapsed="false">
      <c r="A13" s="47" t="s">
        <v>70</v>
      </c>
    </row>
    <row r="14" customFormat="false" ht="14.25" hidden="false" customHeight="false" outlineLevel="0" collapsed="false">
      <c r="A14" s="48" t="s">
        <v>309</v>
      </c>
    </row>
    <row r="15" customFormat="false" ht="14.25" hidden="false" customHeight="false" outlineLevel="0" collapsed="false">
      <c r="A15" s="49" t="s">
        <v>310</v>
      </c>
    </row>
    <row r="16" customFormat="false" ht="14.25" hidden="false" customHeight="false" outlineLevel="0" collapsed="false">
      <c r="A16" s="50" t="s">
        <v>311</v>
      </c>
    </row>
    <row r="17" customFormat="false" ht="14.25" hidden="false" customHeight="false" outlineLevel="0" collapsed="false">
      <c r="A17" s="51" t="s">
        <v>312</v>
      </c>
    </row>
  </sheetData>
  <mergeCells count="2">
    <mergeCell ref="A1:D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</cols>
  <sheetData>
    <row r="1" customFormat="false" ht="25.5" hidden="false" customHeight="true" outlineLevel="0" collapsed="false">
      <c r="A1" s="18" t="s">
        <v>313</v>
      </c>
      <c r="B1" s="18"/>
      <c r="C1" s="18"/>
      <c r="D1" s="18"/>
      <c r="E1" s="18"/>
      <c r="F1" s="18"/>
      <c r="G1" s="18"/>
    </row>
    <row r="2" customFormat="false" ht="31.5" hidden="false" customHeight="true" outlineLevel="0" collapsed="false">
      <c r="A2" s="19" t="s">
        <v>53</v>
      </c>
      <c r="B2" s="19" t="s">
        <v>91</v>
      </c>
      <c r="C2" s="19" t="s">
        <v>66</v>
      </c>
      <c r="D2" s="19" t="s">
        <v>78</v>
      </c>
      <c r="E2" s="19" t="s">
        <v>73</v>
      </c>
      <c r="F2" s="19" t="s">
        <v>314</v>
      </c>
      <c r="G2" s="19" t="s">
        <v>315</v>
      </c>
      <c r="H2" s="19" t="s">
        <v>316</v>
      </c>
    </row>
    <row r="3" customFormat="false" ht="14.25" hidden="false" customHeight="false" outlineLevel="0" collapsed="false">
      <c r="A3" s="52" t="s">
        <v>65</v>
      </c>
      <c r="B3" s="42" t="n">
        <v>1</v>
      </c>
      <c r="C3" s="39" t="n">
        <v>3</v>
      </c>
      <c r="D3" s="36" t="n">
        <v>4</v>
      </c>
      <c r="E3" s="33" t="n">
        <v>4</v>
      </c>
      <c r="F3" s="53" t="n">
        <v>0</v>
      </c>
      <c r="G3" s="54" t="n">
        <v>0</v>
      </c>
      <c r="H3" s="52" t="n">
        <v>12</v>
      </c>
    </row>
    <row r="4" customFormat="false" ht="14.25" hidden="false" customHeight="false" outlineLevel="0" collapsed="false">
      <c r="A4" s="52" t="s">
        <v>108</v>
      </c>
      <c r="B4" s="42" t="n">
        <v>4</v>
      </c>
      <c r="C4" s="39" t="n">
        <v>4</v>
      </c>
      <c r="D4" s="36" t="n">
        <v>2</v>
      </c>
      <c r="E4" s="33" t="n">
        <v>3</v>
      </c>
      <c r="F4" s="53" t="n">
        <v>0</v>
      </c>
      <c r="G4" s="54" t="n">
        <v>0</v>
      </c>
      <c r="H4" s="52" t="n">
        <v>13</v>
      </c>
    </row>
    <row r="5" customFormat="false" ht="14.25" hidden="false" customHeight="false" outlineLevel="0" collapsed="false">
      <c r="A5" s="52" t="s">
        <v>137</v>
      </c>
      <c r="B5" s="42" t="n">
        <v>4</v>
      </c>
      <c r="C5" s="39" t="n">
        <v>2</v>
      </c>
      <c r="D5" s="36" t="n">
        <v>3</v>
      </c>
      <c r="E5" s="33" t="n">
        <v>4</v>
      </c>
      <c r="F5" s="53" t="n">
        <v>0</v>
      </c>
      <c r="G5" s="54" t="n">
        <v>0</v>
      </c>
      <c r="H5" s="52" t="n">
        <v>13</v>
      </c>
    </row>
    <row r="6" customFormat="false" ht="14.25" hidden="false" customHeight="false" outlineLevel="0" collapsed="false">
      <c r="A6" s="52" t="s">
        <v>166</v>
      </c>
      <c r="B6" s="42" t="n">
        <v>2</v>
      </c>
      <c r="C6" s="39" t="n">
        <v>2</v>
      </c>
      <c r="D6" s="36" t="n">
        <v>4</v>
      </c>
      <c r="E6" s="33" t="n">
        <v>4</v>
      </c>
      <c r="F6" s="53" t="n">
        <v>0</v>
      </c>
      <c r="G6" s="54" t="n">
        <v>0</v>
      </c>
      <c r="H6" s="52" t="n">
        <v>12</v>
      </c>
    </row>
    <row r="7" customFormat="false" ht="14.25" hidden="false" customHeight="false" outlineLevel="0" collapsed="false">
      <c r="A7" s="52" t="s">
        <v>192</v>
      </c>
      <c r="B7" s="42" t="n">
        <v>0</v>
      </c>
      <c r="C7" s="39" t="n">
        <v>3</v>
      </c>
      <c r="D7" s="36" t="n">
        <v>4</v>
      </c>
      <c r="E7" s="33" t="n">
        <v>5</v>
      </c>
      <c r="F7" s="53" t="n">
        <v>0</v>
      </c>
      <c r="G7" s="54" t="n">
        <v>0</v>
      </c>
      <c r="H7" s="52" t="n">
        <v>12</v>
      </c>
    </row>
    <row r="8" customFormat="false" ht="14.25" hidden="false" customHeight="false" outlineLevel="0" collapsed="false">
      <c r="A8" s="52" t="s">
        <v>218</v>
      </c>
      <c r="B8" s="42" t="n">
        <v>0</v>
      </c>
      <c r="C8" s="39" t="n">
        <v>4</v>
      </c>
      <c r="D8" s="36" t="n">
        <v>4</v>
      </c>
      <c r="E8" s="33" t="n">
        <v>4</v>
      </c>
      <c r="F8" s="53" t="n">
        <v>0</v>
      </c>
      <c r="G8" s="54" t="n">
        <v>0</v>
      </c>
      <c r="H8" s="52" t="n">
        <v>12</v>
      </c>
    </row>
    <row r="9" customFormat="false" ht="14.25" hidden="false" customHeight="false" outlineLevel="0" collapsed="false">
      <c r="A9" s="52" t="s">
        <v>244</v>
      </c>
      <c r="B9" s="42" t="n">
        <v>0</v>
      </c>
      <c r="C9" s="39" t="n">
        <v>4</v>
      </c>
      <c r="D9" s="36" t="n">
        <v>4</v>
      </c>
      <c r="E9" s="33" t="n">
        <v>4</v>
      </c>
      <c r="F9" s="53" t="n">
        <v>0</v>
      </c>
      <c r="G9" s="54" t="n">
        <v>0</v>
      </c>
      <c r="H9" s="52" t="n">
        <v>12</v>
      </c>
    </row>
    <row r="10" customFormat="false" ht="14.25" hidden="false" customHeight="false" outlineLevel="0" collapsed="false">
      <c r="A10" s="52" t="s">
        <v>270</v>
      </c>
      <c r="B10" s="42" t="n">
        <v>0</v>
      </c>
      <c r="C10" s="39" t="n">
        <v>4</v>
      </c>
      <c r="D10" s="36" t="n">
        <v>3</v>
      </c>
      <c r="E10" s="33" t="n">
        <v>5</v>
      </c>
      <c r="F10" s="53" t="n">
        <v>0</v>
      </c>
      <c r="G10" s="54" t="n">
        <v>0</v>
      </c>
      <c r="H10" s="52" t="n">
        <v>12</v>
      </c>
    </row>
    <row r="11" customFormat="false" ht="14.25" hidden="false" customHeight="false" outlineLevel="0" collapsed="false">
      <c r="A11" s="55" t="s">
        <v>306</v>
      </c>
      <c r="B11" s="56" t="n">
        <v>11</v>
      </c>
      <c r="C11" s="56" t="n">
        <v>26</v>
      </c>
      <c r="D11" s="56" t="n">
        <v>28</v>
      </c>
      <c r="E11" s="56" t="n">
        <v>33</v>
      </c>
      <c r="F11" s="56" t="n">
        <v>0</v>
      </c>
      <c r="G11" s="56" t="n">
        <v>0</v>
      </c>
      <c r="H11" s="56" t="n">
        <v>98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57" activePane="bottomRight" state="frozen"/>
      <selection pane="topLeft" activeCell="A1" activeCellId="0" sqref="A1"/>
      <selection pane="topRight" activeCell="C1" activeCellId="0" sqref="C1"/>
      <selection pane="bottomLeft" activeCell="A57" activeCellId="0" sqref="A57"/>
      <selection pane="bottomRight" activeCell="C68" activeCellId="0" sqref="C68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3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12" min="9" style="0" width="12"/>
  </cols>
  <sheetData>
    <row r="1" customFormat="false" ht="27.75" hidden="false" customHeight="true" outlineLevel="0" collapsed="false">
      <c r="A1" s="57" t="s">
        <v>317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 customFormat="false" ht="15.75" hidden="false" customHeight="true" outlineLevel="0" collapsed="false">
      <c r="A2" s="58" t="s">
        <v>318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customFormat="false" ht="36" hidden="false" customHeight="true" outlineLevel="0" collapsed="false">
      <c r="A3" s="59" t="s">
        <v>319</v>
      </c>
      <c r="B3" s="59" t="s">
        <v>53</v>
      </c>
      <c r="C3" s="59" t="s">
        <v>320</v>
      </c>
      <c r="D3" s="59" t="s">
        <v>321</v>
      </c>
      <c r="E3" s="59" t="s">
        <v>322</v>
      </c>
      <c r="F3" s="59" t="s">
        <v>323</v>
      </c>
      <c r="G3" s="59" t="s">
        <v>324</v>
      </c>
      <c r="H3" s="59" t="s">
        <v>325</v>
      </c>
      <c r="I3" s="59" t="s">
        <v>326</v>
      </c>
      <c r="J3" s="59" t="s">
        <v>327</v>
      </c>
      <c r="K3" s="59" t="s">
        <v>328</v>
      </c>
      <c r="L3" s="59" t="s">
        <v>329</v>
      </c>
    </row>
    <row r="4" customFormat="false" ht="15.75" hidden="false" customHeight="true" outlineLevel="0" collapsed="false">
      <c r="A4" s="60" t="n">
        <v>2021</v>
      </c>
      <c r="B4" s="61" t="s">
        <v>330</v>
      </c>
      <c r="C4" s="62"/>
      <c r="D4" s="62"/>
      <c r="E4" s="63" t="n">
        <v>2366</v>
      </c>
      <c r="F4" s="63" t="n">
        <v>166</v>
      </c>
      <c r="G4" s="63" t="n">
        <v>20</v>
      </c>
      <c r="H4" s="63" t="n">
        <v>7</v>
      </c>
      <c r="I4" s="64"/>
      <c r="J4" s="64" t="n">
        <f aca="false">IF(AND(E4&lt;&gt;"",F4&lt;&gt;""),F4/E4,"")</f>
        <v>0.0701606086221471</v>
      </c>
      <c r="K4" s="65" t="str">
        <f aca="false">IF(I4="","",IF(I4&gt;=0.18,"✓ Cumple","✗ Por debajo"))</f>
        <v/>
      </c>
      <c r="L4" s="65" t="str">
        <f aca="false">IF(J4="","",IF(J4&gt;=0.075,"✓ Cumple","✗ Por debajo"))</f>
        <v>✗ Por debajo</v>
      </c>
    </row>
    <row r="5" customFormat="false" ht="15.75" hidden="false" customHeight="true" outlineLevel="0" collapsed="false">
      <c r="A5" s="66" t="n">
        <v>2021</v>
      </c>
      <c r="B5" s="67" t="s">
        <v>331</v>
      </c>
      <c r="C5" s="62"/>
      <c r="D5" s="62"/>
      <c r="E5" s="63" t="n">
        <v>917</v>
      </c>
      <c r="F5" s="63" t="n">
        <v>49</v>
      </c>
      <c r="G5" s="63" t="n">
        <v>10</v>
      </c>
      <c r="H5" s="63" t="n">
        <v>1</v>
      </c>
      <c r="I5" s="64"/>
      <c r="J5" s="64" t="n">
        <f aca="false">IF(AND(E5&lt;&gt;"",F5&lt;&gt;""),F5/E5,"")</f>
        <v>0.0534351145038168</v>
      </c>
      <c r="K5" s="65" t="str">
        <f aca="false">IF(I5="","",IF(I5&gt;=0.18,"✓ Cumple","✗ Por debajo"))</f>
        <v/>
      </c>
      <c r="L5" s="65" t="str">
        <f aca="false">IF(J5="","",IF(J5&gt;=0.075,"✓ Cumple","✗ Por debajo"))</f>
        <v>✗ Por debajo</v>
      </c>
    </row>
    <row r="6" customFormat="false" ht="15.75" hidden="false" customHeight="true" outlineLevel="0" collapsed="false">
      <c r="A6" s="60" t="n">
        <v>2021</v>
      </c>
      <c r="B6" s="61" t="s">
        <v>332</v>
      </c>
      <c r="C6" s="62"/>
      <c r="D6" s="62"/>
      <c r="E6" s="63" t="n">
        <v>2918</v>
      </c>
      <c r="F6" s="63" t="n">
        <v>258</v>
      </c>
      <c r="G6" s="63" t="n">
        <v>15</v>
      </c>
      <c r="H6" s="63" t="n">
        <v>5</v>
      </c>
      <c r="I6" s="64"/>
      <c r="J6" s="64" t="n">
        <f aca="false">IF(AND(E6&lt;&gt;"",F6&lt;&gt;""),F6/E6,"")</f>
        <v>0.0884167237834133</v>
      </c>
      <c r="K6" s="65" t="str">
        <f aca="false">IF(I6="","",IF(I6&gt;=0.18,"✓ Cumple","✗ Por debajo"))</f>
        <v/>
      </c>
      <c r="L6" s="65" t="str">
        <f aca="false">IF(J6="","",IF(J6&gt;=0.075,"✓ Cumple","✗ Por debajo"))</f>
        <v>✓ Cumple</v>
      </c>
    </row>
    <row r="7" customFormat="false" ht="15.75" hidden="false" customHeight="true" outlineLevel="0" collapsed="false">
      <c r="A7" s="66" t="n">
        <v>2021</v>
      </c>
      <c r="B7" s="67" t="s">
        <v>333</v>
      </c>
      <c r="C7" s="62"/>
      <c r="D7" s="62"/>
      <c r="E7" s="63" t="n">
        <v>10771</v>
      </c>
      <c r="F7" s="63" t="n">
        <v>618</v>
      </c>
      <c r="G7" s="63" t="n">
        <v>25</v>
      </c>
      <c r="H7" s="63" t="n">
        <v>9</v>
      </c>
      <c r="I7" s="64"/>
      <c r="J7" s="64" t="n">
        <f aca="false">IF(AND(E7&lt;&gt;"",F7&lt;&gt;""),F7/E7,"")</f>
        <v>0.0573762881812274</v>
      </c>
      <c r="K7" s="65" t="str">
        <f aca="false">IF(I7="","",IF(I7&gt;=0.18,"✓ Cumple","✗ Por debajo"))</f>
        <v/>
      </c>
      <c r="L7" s="65" t="str">
        <f aca="false">IF(J7="","",IF(J7&gt;=0.075,"✓ Cumple","✗ Por debajo"))</f>
        <v>✗ Por debajo</v>
      </c>
    </row>
    <row r="8" customFormat="false" ht="15.75" hidden="false" customHeight="true" outlineLevel="0" collapsed="false">
      <c r="A8" s="60" t="n">
        <v>2021</v>
      </c>
      <c r="B8" s="61" t="s">
        <v>65</v>
      </c>
      <c r="C8" s="62"/>
      <c r="D8" s="62"/>
      <c r="E8" s="63" t="n">
        <v>7737</v>
      </c>
      <c r="F8" s="63" t="n">
        <v>633</v>
      </c>
      <c r="G8" s="63" t="n">
        <v>18</v>
      </c>
      <c r="H8" s="63" t="n">
        <v>11</v>
      </c>
      <c r="I8" s="64"/>
      <c r="J8" s="64" t="n">
        <f aca="false">IF(AND(E8&lt;&gt;"",F8&lt;&gt;""),F8/E8,"")</f>
        <v>0.0818146568437379</v>
      </c>
      <c r="K8" s="65" t="str">
        <f aca="false">IF(I8="","",IF(I8&gt;=0.18,"✓ Cumple","✗ Por debajo"))</f>
        <v/>
      </c>
      <c r="L8" s="65" t="str">
        <f aca="false">IF(J8="","",IF(J8&gt;=0.075,"✓ Cumple","✗ Por debajo"))</f>
        <v>✓ Cumple</v>
      </c>
    </row>
    <row r="9" customFormat="false" ht="15.75" hidden="false" customHeight="true" outlineLevel="0" collapsed="false">
      <c r="A9" s="66" t="n">
        <v>2021</v>
      </c>
      <c r="B9" s="67" t="s">
        <v>108</v>
      </c>
      <c r="C9" s="62"/>
      <c r="D9" s="62"/>
      <c r="E9" s="63" t="n">
        <v>6680</v>
      </c>
      <c r="F9" s="63" t="n">
        <v>536</v>
      </c>
      <c r="G9" s="63" t="n">
        <v>15</v>
      </c>
      <c r="H9" s="63" t="n">
        <v>11</v>
      </c>
      <c r="I9" s="64"/>
      <c r="J9" s="64" t="n">
        <f aca="false">IF(AND(E9&lt;&gt;"",F9&lt;&gt;""),F9/E9,"")</f>
        <v>0.0802395209580838</v>
      </c>
      <c r="K9" s="65" t="str">
        <f aca="false">IF(I9="","",IF(I9&gt;=0.18,"✓ Cumple","✗ Por debajo"))</f>
        <v/>
      </c>
      <c r="L9" s="65" t="str">
        <f aca="false">IF(J9="","",IF(J9&gt;=0.075,"✓ Cumple","✗ Por debajo"))</f>
        <v>✓ Cumple</v>
      </c>
    </row>
    <row r="10" customFormat="false" ht="15.75" hidden="false" customHeight="true" outlineLevel="0" collapsed="false">
      <c r="A10" s="60" t="n">
        <v>2021</v>
      </c>
      <c r="B10" s="61" t="s">
        <v>137</v>
      </c>
      <c r="C10" s="62"/>
      <c r="D10" s="62"/>
      <c r="E10" s="63" t="n">
        <v>2182</v>
      </c>
      <c r="F10" s="63" t="n">
        <v>125</v>
      </c>
      <c r="G10" s="63" t="n">
        <v>8</v>
      </c>
      <c r="H10" s="63" t="n">
        <v>3</v>
      </c>
      <c r="I10" s="64"/>
      <c r="J10" s="64" t="n">
        <f aca="false">IF(AND(E10&lt;&gt;"",F10&lt;&gt;""),F10/E10,"")</f>
        <v>0.0572868927589368</v>
      </c>
      <c r="K10" s="65" t="str">
        <f aca="false">IF(I10="","",IF(I10&gt;=0.18,"✓ Cumple","✗ Por debajo"))</f>
        <v/>
      </c>
      <c r="L10" s="65" t="str">
        <f aca="false">IF(J10="","",IF(J10&gt;=0.075,"✓ Cumple","✗ Por debajo"))</f>
        <v>✗ Por debajo</v>
      </c>
    </row>
    <row r="11" customFormat="false" ht="15.75" hidden="false" customHeight="true" outlineLevel="0" collapsed="false">
      <c r="A11" s="66" t="n">
        <v>2021</v>
      </c>
      <c r="B11" s="67" t="s">
        <v>166</v>
      </c>
      <c r="C11" s="62"/>
      <c r="D11" s="62"/>
      <c r="E11" s="63" t="n">
        <v>782</v>
      </c>
      <c r="F11" s="63" t="n">
        <v>68</v>
      </c>
      <c r="G11" s="63" t="n">
        <v>5</v>
      </c>
      <c r="H11" s="63" t="n">
        <v>1</v>
      </c>
      <c r="I11" s="64"/>
      <c r="J11" s="64" t="n">
        <f aca="false">IF(AND(E11&lt;&gt;"",F11&lt;&gt;""),F11/E11,"")</f>
        <v>0.0869565217391304</v>
      </c>
      <c r="K11" s="65" t="str">
        <f aca="false">IF(I11="","",IF(I11&gt;=0.18,"✓ Cumple","✗ Por debajo"))</f>
        <v/>
      </c>
      <c r="L11" s="65" t="str">
        <f aca="false">IF(J11="","",IF(J11&gt;=0.075,"✓ Cumple","✗ Por debajo"))</f>
        <v>✓ Cumple</v>
      </c>
    </row>
    <row r="12" customFormat="false" ht="15.75" hidden="false" customHeight="true" outlineLevel="0" collapsed="false">
      <c r="A12" s="60" t="n">
        <v>2021</v>
      </c>
      <c r="B12" s="61" t="s">
        <v>334</v>
      </c>
      <c r="C12" s="62"/>
      <c r="D12" s="62"/>
      <c r="E12" s="63" t="n">
        <v>2302</v>
      </c>
      <c r="F12" s="63" t="n">
        <v>141</v>
      </c>
      <c r="G12" s="63" t="n">
        <v>8</v>
      </c>
      <c r="H12" s="63" t="n">
        <v>3</v>
      </c>
      <c r="I12" s="64"/>
      <c r="J12" s="64" t="n">
        <f aca="false">IF(AND(E12&lt;&gt;"",F12&lt;&gt;""),F12/E12,"")</f>
        <v>0.0612510860121633</v>
      </c>
      <c r="K12" s="65" t="str">
        <f aca="false">IF(I12="","",IF(I12&gt;=0.18,"✓ Cumple","✗ Por debajo"))</f>
        <v/>
      </c>
      <c r="L12" s="65" t="str">
        <f aca="false">IF(J12="","",IF(J12&gt;=0.075,"✓ Cumple","✗ Por debajo"))</f>
        <v>✗ Por debajo</v>
      </c>
    </row>
    <row r="13" customFormat="false" ht="15.75" hidden="false" customHeight="true" outlineLevel="0" collapsed="false">
      <c r="A13" s="66" t="n">
        <v>2021</v>
      </c>
      <c r="B13" s="67" t="s">
        <v>218</v>
      </c>
      <c r="C13" s="62"/>
      <c r="D13" s="62"/>
      <c r="E13" s="63" t="n">
        <v>4109</v>
      </c>
      <c r="F13" s="63" t="n">
        <v>282</v>
      </c>
      <c r="G13" s="63" t="n">
        <v>12</v>
      </c>
      <c r="H13" s="63" t="n">
        <v>7</v>
      </c>
      <c r="I13" s="64"/>
      <c r="J13" s="64" t="n">
        <f aca="false">IF(AND(E13&lt;&gt;"",F13&lt;&gt;""),F13/E13,"")</f>
        <v>0.0686298369432952</v>
      </c>
      <c r="K13" s="65" t="str">
        <f aca="false">IF(I13="","",IF(I13&gt;=0.18,"✓ Cumple","✗ Por debajo"))</f>
        <v/>
      </c>
      <c r="L13" s="65" t="str">
        <f aca="false">IF(J13="","",IF(J13&gt;=0.075,"✓ Cumple","✗ Por debajo"))</f>
        <v>✗ Por debajo</v>
      </c>
    </row>
    <row r="14" customFormat="false" ht="15.75" hidden="false" customHeight="true" outlineLevel="0" collapsed="false">
      <c r="A14" s="60" t="n">
        <v>2021</v>
      </c>
      <c r="B14" s="61" t="s">
        <v>244</v>
      </c>
      <c r="C14" s="62"/>
      <c r="D14" s="62"/>
      <c r="E14" s="63" t="n">
        <v>1748</v>
      </c>
      <c r="F14" s="63" t="n">
        <v>122</v>
      </c>
      <c r="G14" s="63" t="n">
        <v>8</v>
      </c>
      <c r="H14" s="63" t="n">
        <v>5</v>
      </c>
      <c r="I14" s="64"/>
      <c r="J14" s="64" t="n">
        <f aca="false">IF(AND(E14&lt;&gt;"",F14&lt;&gt;""),F14/E14,"")</f>
        <v>0.0697940503432494</v>
      </c>
      <c r="K14" s="65" t="str">
        <f aca="false">IF(I14="","",IF(I14&gt;=0.18,"✓ Cumple","✗ Por debajo"))</f>
        <v/>
      </c>
      <c r="L14" s="65" t="str">
        <f aca="false">IF(J14="","",IF(J14&gt;=0.075,"✓ Cumple","✗ Por debajo"))</f>
        <v>✗ Por debajo</v>
      </c>
    </row>
    <row r="15" customFormat="false" ht="15.75" hidden="false" customHeight="true" outlineLevel="0" collapsed="false">
      <c r="A15" s="66" t="n">
        <v>2021</v>
      </c>
      <c r="B15" s="67" t="s">
        <v>270</v>
      </c>
      <c r="C15" s="62"/>
      <c r="D15" s="62"/>
      <c r="E15" s="63" t="n">
        <v>3016</v>
      </c>
      <c r="F15" s="63" t="n">
        <v>316</v>
      </c>
      <c r="G15" s="63" t="n">
        <v>10</v>
      </c>
      <c r="H15" s="63" t="n">
        <v>6</v>
      </c>
      <c r="I15" s="64"/>
      <c r="J15" s="64" t="n">
        <f aca="false">IF(AND(E15&lt;&gt;"",F15&lt;&gt;""),F15/E15,"")</f>
        <v>0.104774535809019</v>
      </c>
      <c r="K15" s="65" t="str">
        <f aca="false">IF(I15="","",IF(I15&gt;=0.18,"✓ Cumple","✗ Por debajo"))</f>
        <v/>
      </c>
      <c r="L15" s="65" t="str">
        <f aca="false">IF(J15="","",IF(J15&gt;=0.075,"✓ Cumple","✗ Por debajo"))</f>
        <v>✓ Cumple</v>
      </c>
    </row>
    <row r="16" customFormat="false" ht="15.75" hidden="false" customHeight="true" outlineLevel="0" collapsed="false">
      <c r="A16" s="60" t="n">
        <v>2022</v>
      </c>
      <c r="B16" s="61" t="s">
        <v>330</v>
      </c>
      <c r="C16" s="63" t="n">
        <v>2571</v>
      </c>
      <c r="D16" s="63" t="n">
        <v>3344</v>
      </c>
      <c r="E16" s="63" t="n">
        <v>1203</v>
      </c>
      <c r="F16" s="63" t="n">
        <v>116</v>
      </c>
      <c r="G16" s="63" t="n">
        <v>33</v>
      </c>
      <c r="H16" s="63" t="n">
        <v>4</v>
      </c>
      <c r="I16" s="64" t="n">
        <f aca="false">IF(AND(C16&lt;&gt;"",E16&lt;&gt;""),E16/C16,"")</f>
        <v>0.467911318553092</v>
      </c>
      <c r="J16" s="64" t="n">
        <f aca="false">IF(AND(E16&lt;&gt;"",F16&lt;&gt;""),F16/E16,"")</f>
        <v>0.0964256026600166</v>
      </c>
      <c r="K16" s="65" t="str">
        <f aca="false">IF(I16="","",IF(I16&gt;=0.18,"✓ Cumple","✗ Por debajo"))</f>
        <v>✓ Cumple</v>
      </c>
      <c r="L16" s="65" t="str">
        <f aca="false">IF(J16="","",IF(J16&gt;=0.075,"✓ Cumple","✗ Por debajo"))</f>
        <v>✓ Cumple</v>
      </c>
    </row>
    <row r="17" customFormat="false" ht="15.75" hidden="false" customHeight="true" outlineLevel="0" collapsed="false">
      <c r="A17" s="66" t="n">
        <v>2022</v>
      </c>
      <c r="B17" s="67" t="s">
        <v>331</v>
      </c>
      <c r="C17" s="63" t="n">
        <v>2610</v>
      </c>
      <c r="D17" s="63" t="n">
        <v>4322</v>
      </c>
      <c r="E17" s="63" t="n">
        <v>647</v>
      </c>
      <c r="F17" s="63" t="n">
        <v>399</v>
      </c>
      <c r="G17" s="63" t="n">
        <v>39</v>
      </c>
      <c r="H17" s="63" t="n">
        <v>4</v>
      </c>
      <c r="I17" s="64" t="n">
        <f aca="false">IF(AND(C17&lt;&gt;"",E17&lt;&gt;""),E17/C17,"")</f>
        <v>0.247892720306513</v>
      </c>
      <c r="J17" s="64" t="n">
        <f aca="false">IF(AND(E17&lt;&gt;"",F17&lt;&gt;""),F17/E17,"")</f>
        <v>0.616692426584235</v>
      </c>
      <c r="K17" s="65" t="str">
        <f aca="false">IF(I17="","",IF(I17&gt;=0.18,"✓ Cumple","✗ Por debajo"))</f>
        <v>✓ Cumple</v>
      </c>
      <c r="L17" s="65" t="str">
        <f aca="false">IF(J17="","",IF(J17&gt;=0.075,"✓ Cumple","✗ Por debajo"))</f>
        <v>✓ Cumple</v>
      </c>
    </row>
    <row r="18" customFormat="false" ht="15.75" hidden="false" customHeight="true" outlineLevel="0" collapsed="false">
      <c r="A18" s="60" t="n">
        <v>2022</v>
      </c>
      <c r="B18" s="61" t="s">
        <v>332</v>
      </c>
      <c r="C18" s="63" t="n">
        <v>2634</v>
      </c>
      <c r="D18" s="63" t="n">
        <v>3146</v>
      </c>
      <c r="E18" s="63" t="n">
        <v>1076</v>
      </c>
      <c r="F18" s="63" t="n">
        <v>154</v>
      </c>
      <c r="G18" s="63" t="n">
        <v>24</v>
      </c>
      <c r="H18" s="63" t="n">
        <v>4</v>
      </c>
      <c r="I18" s="64" t="n">
        <f aca="false">IF(AND(C18&lt;&gt;"",E18&lt;&gt;""),E18/C18,"")</f>
        <v>0.408504176157935</v>
      </c>
      <c r="J18" s="64" t="n">
        <f aca="false">IF(AND(E18&lt;&gt;"",F18&lt;&gt;""),F18/E18,"")</f>
        <v>0.143122676579926</v>
      </c>
      <c r="K18" s="65" t="str">
        <f aca="false">IF(I18="","",IF(I18&gt;=0.18,"✓ Cumple","✗ Por debajo"))</f>
        <v>✓ Cumple</v>
      </c>
      <c r="L18" s="65" t="str">
        <f aca="false">IF(J18="","",IF(J18&gt;=0.075,"✓ Cumple","✗ Por debajo"))</f>
        <v>✓ Cumple</v>
      </c>
    </row>
    <row r="19" customFormat="false" ht="15.75" hidden="false" customHeight="true" outlineLevel="0" collapsed="false">
      <c r="A19" s="66" t="n">
        <v>2022</v>
      </c>
      <c r="B19" s="67" t="s">
        <v>333</v>
      </c>
      <c r="C19" s="63" t="n">
        <v>2642</v>
      </c>
      <c r="D19" s="63" t="n">
        <v>3743</v>
      </c>
      <c r="E19" s="63" t="n">
        <v>390</v>
      </c>
      <c r="F19" s="63" t="n">
        <v>118</v>
      </c>
      <c r="G19" s="63" t="n">
        <v>8</v>
      </c>
      <c r="H19" s="63" t="n">
        <v>4</v>
      </c>
      <c r="I19" s="64" t="n">
        <f aca="false">IF(AND(C19&lt;&gt;"",E19&lt;&gt;""),E19/C19,"")</f>
        <v>0.147615442846329</v>
      </c>
      <c r="J19" s="64" t="n">
        <f aca="false">IF(AND(E19&lt;&gt;"",F19&lt;&gt;""),F19/E19,"")</f>
        <v>0.302564102564103</v>
      </c>
      <c r="K19" s="65" t="str">
        <f aca="false">IF(I19="","",IF(I19&gt;=0.18,"✓ Cumple","✗ Por debajo"))</f>
        <v>✗ Por debajo</v>
      </c>
      <c r="L19" s="65" t="str">
        <f aca="false">IF(J19="","",IF(J19&gt;=0.075,"✓ Cumple","✗ Por debajo"))</f>
        <v>✓ Cumple</v>
      </c>
    </row>
    <row r="20" customFormat="false" ht="15.75" hidden="false" customHeight="true" outlineLevel="0" collapsed="false">
      <c r="A20" s="60" t="n">
        <v>2022</v>
      </c>
      <c r="B20" s="61" t="s">
        <v>65</v>
      </c>
      <c r="C20" s="63" t="n">
        <v>2671</v>
      </c>
      <c r="D20" s="63" t="n">
        <v>4084</v>
      </c>
      <c r="E20" s="63" t="n">
        <v>358</v>
      </c>
      <c r="F20" s="63" t="n">
        <v>161</v>
      </c>
      <c r="G20" s="63" t="n">
        <v>29</v>
      </c>
      <c r="H20" s="63" t="n">
        <v>5</v>
      </c>
      <c r="I20" s="64" t="n">
        <f aca="false">IF(AND(C20&lt;&gt;"",E20&lt;&gt;""),E20/C20,"")</f>
        <v>0.134032197678772</v>
      </c>
      <c r="J20" s="64" t="n">
        <f aca="false">IF(AND(E20&lt;&gt;"",F20&lt;&gt;""),F20/E20,"")</f>
        <v>0.449720670391061</v>
      </c>
      <c r="K20" s="65" t="str">
        <f aca="false">IF(I20="","",IF(I20&gt;=0.18,"✓ Cumple","✗ Por debajo"))</f>
        <v>✗ Por debajo</v>
      </c>
      <c r="L20" s="65" t="str">
        <f aca="false">IF(J20="","",IF(J20&gt;=0.075,"✓ Cumple","✗ Por debajo"))</f>
        <v>✓ Cumple</v>
      </c>
    </row>
    <row r="21" customFormat="false" ht="15.75" hidden="false" customHeight="true" outlineLevel="0" collapsed="false">
      <c r="A21" s="66" t="n">
        <v>2022</v>
      </c>
      <c r="B21" s="67" t="s">
        <v>108</v>
      </c>
      <c r="C21" s="63" t="n">
        <v>2692</v>
      </c>
      <c r="D21" s="63" t="n">
        <v>4748</v>
      </c>
      <c r="E21" s="63" t="n">
        <v>426</v>
      </c>
      <c r="F21" s="63" t="n">
        <v>297</v>
      </c>
      <c r="G21" s="63" t="n">
        <v>21</v>
      </c>
      <c r="H21" s="63" t="n">
        <v>6</v>
      </c>
      <c r="I21" s="64" t="n">
        <f aca="false">IF(AND(C21&lt;&gt;"",E21&lt;&gt;""),E21/C21,"")</f>
        <v>0.158246656760773</v>
      </c>
      <c r="J21" s="64" t="n">
        <f aca="false">IF(AND(E21&lt;&gt;"",F21&lt;&gt;""),F21/E21,"")</f>
        <v>0.697183098591549</v>
      </c>
      <c r="K21" s="65" t="str">
        <f aca="false">IF(I21="","",IF(I21&gt;=0.18,"✓ Cumple","✗ Por debajo"))</f>
        <v>✗ Por debajo</v>
      </c>
      <c r="L21" s="65" t="str">
        <f aca="false">IF(J21="","",IF(J21&gt;=0.075,"✓ Cumple","✗ Por debajo"))</f>
        <v>✓ Cumple</v>
      </c>
    </row>
    <row r="22" customFormat="false" ht="15.75" hidden="false" customHeight="true" outlineLevel="0" collapsed="false">
      <c r="A22" s="60" t="n">
        <v>2022</v>
      </c>
      <c r="B22" s="61" t="s">
        <v>137</v>
      </c>
      <c r="C22" s="63" t="n">
        <v>2705</v>
      </c>
      <c r="D22" s="63" t="n">
        <v>3942</v>
      </c>
      <c r="E22" s="63" t="n">
        <v>771</v>
      </c>
      <c r="F22" s="63" t="n">
        <v>297</v>
      </c>
      <c r="G22" s="63" t="n">
        <v>13</v>
      </c>
      <c r="H22" s="63" t="n">
        <v>3</v>
      </c>
      <c r="I22" s="64" t="n">
        <f aca="false">IF(AND(C22&lt;&gt;"",E22&lt;&gt;""),E22/C22,"")</f>
        <v>0.285027726432532</v>
      </c>
      <c r="J22" s="64" t="n">
        <f aca="false">IF(AND(E22&lt;&gt;"",F22&lt;&gt;""),F22/E22,"")</f>
        <v>0.385214007782101</v>
      </c>
      <c r="K22" s="65" t="str">
        <f aca="false">IF(I22="","",IF(I22&gt;=0.18,"✓ Cumple","✗ Por debajo"))</f>
        <v>✓ Cumple</v>
      </c>
      <c r="L22" s="65" t="str">
        <f aca="false">IF(J22="","",IF(J22&gt;=0.075,"✓ Cumple","✗ Por debajo"))</f>
        <v>✓ Cumple</v>
      </c>
    </row>
    <row r="23" customFormat="false" ht="15.75" hidden="false" customHeight="true" outlineLevel="0" collapsed="false">
      <c r="A23" s="66" t="n">
        <v>2022</v>
      </c>
      <c r="B23" s="67" t="s">
        <v>166</v>
      </c>
      <c r="C23" s="63" t="n">
        <v>2722</v>
      </c>
      <c r="D23" s="62"/>
      <c r="E23" s="63" t="n">
        <v>542</v>
      </c>
      <c r="F23" s="63" t="n">
        <v>147</v>
      </c>
      <c r="G23" s="63" t="n">
        <v>17</v>
      </c>
      <c r="H23" s="63" t="n">
        <v>5</v>
      </c>
      <c r="I23" s="64" t="n">
        <f aca="false">IF(AND(C23&lt;&gt;"",E23&lt;&gt;""),E23/C23,"")</f>
        <v>0.199118295371051</v>
      </c>
      <c r="J23" s="64" t="n">
        <f aca="false">IF(AND(E23&lt;&gt;"",F23&lt;&gt;""),F23/E23,"")</f>
        <v>0.271217712177122</v>
      </c>
      <c r="K23" s="65" t="str">
        <f aca="false">IF(I23="","",IF(I23&gt;=0.18,"✓ Cumple","✗ Por debajo"))</f>
        <v>✓ Cumple</v>
      </c>
      <c r="L23" s="65" t="str">
        <f aca="false">IF(J23="","",IF(J23&gt;=0.075,"✓ Cumple","✗ Por debajo"))</f>
        <v>✓ Cumple</v>
      </c>
    </row>
    <row r="24" customFormat="false" ht="15.75" hidden="false" customHeight="true" outlineLevel="0" collapsed="false">
      <c r="A24" s="60" t="n">
        <v>2022</v>
      </c>
      <c r="B24" s="61" t="s">
        <v>334</v>
      </c>
      <c r="C24" s="63" t="n">
        <v>2726</v>
      </c>
      <c r="D24" s="62"/>
      <c r="E24" s="63" t="n">
        <v>308</v>
      </c>
      <c r="F24" s="63" t="n">
        <v>36</v>
      </c>
      <c r="G24" s="63" t="n">
        <v>7</v>
      </c>
      <c r="H24" s="63" t="n">
        <v>4</v>
      </c>
      <c r="I24" s="64" t="n">
        <f aca="false">IF(AND(C24&lt;&gt;"",E24&lt;&gt;""),E24/C24,"")</f>
        <v>0.112986060161409</v>
      </c>
      <c r="J24" s="64" t="n">
        <f aca="false">IF(AND(E24&lt;&gt;"",F24&lt;&gt;""),F24/E24,"")</f>
        <v>0.116883116883117</v>
      </c>
      <c r="K24" s="65" t="str">
        <f aca="false">IF(I24="","",IF(I24&gt;=0.18,"✓ Cumple","✗ Por debajo"))</f>
        <v>✗ Por debajo</v>
      </c>
      <c r="L24" s="65" t="str">
        <f aca="false">IF(J24="","",IF(J24&gt;=0.075,"✓ Cumple","✗ Por debajo"))</f>
        <v>✓ Cumple</v>
      </c>
    </row>
    <row r="25" customFormat="false" ht="15.75" hidden="false" customHeight="true" outlineLevel="0" collapsed="false">
      <c r="A25" s="66" t="n">
        <v>2022</v>
      </c>
      <c r="B25" s="67" t="s">
        <v>218</v>
      </c>
      <c r="C25" s="63" t="n">
        <v>2726</v>
      </c>
      <c r="D25" s="62"/>
      <c r="E25" s="63" t="n">
        <v>446</v>
      </c>
      <c r="F25" s="63" t="n">
        <v>147</v>
      </c>
      <c r="G25" s="63" t="n">
        <v>12</v>
      </c>
      <c r="H25" s="63" t="n">
        <v>4</v>
      </c>
      <c r="I25" s="64" t="n">
        <f aca="false">IF(AND(C25&lt;&gt;"",E25&lt;&gt;""),E25/C25,"")</f>
        <v>0.163609684519442</v>
      </c>
      <c r="J25" s="64" t="n">
        <f aca="false">IF(AND(E25&lt;&gt;"",F25&lt;&gt;""),F25/E25,"")</f>
        <v>0.329596412556054</v>
      </c>
      <c r="K25" s="65" t="str">
        <f aca="false">IF(I25="","",IF(I25&gt;=0.18,"✓ Cumple","✗ Por debajo"))</f>
        <v>✗ Por debajo</v>
      </c>
      <c r="L25" s="65" t="str">
        <f aca="false">IF(J25="","",IF(J25&gt;=0.075,"✓ Cumple","✗ Por debajo"))</f>
        <v>✓ Cumple</v>
      </c>
    </row>
    <row r="26" customFormat="false" ht="15.75" hidden="false" customHeight="true" outlineLevel="0" collapsed="false">
      <c r="A26" s="60" t="n">
        <v>2022</v>
      </c>
      <c r="B26" s="61" t="s">
        <v>244</v>
      </c>
      <c r="C26" s="63" t="n">
        <v>2760</v>
      </c>
      <c r="D26" s="62"/>
      <c r="E26" s="63" t="n">
        <v>961</v>
      </c>
      <c r="F26" s="63" t="n">
        <v>178</v>
      </c>
      <c r="G26" s="63" t="n">
        <v>6</v>
      </c>
      <c r="H26" s="63" t="n">
        <v>3</v>
      </c>
      <c r="I26" s="64" t="n">
        <f aca="false">IF(AND(C26&lt;&gt;"",E26&lt;&gt;""),E26/C26,"")</f>
        <v>0.348188405797102</v>
      </c>
      <c r="J26" s="64" t="n">
        <f aca="false">IF(AND(E26&lt;&gt;"",F26&lt;&gt;""),F26/E26,"")</f>
        <v>0.18522372528616</v>
      </c>
      <c r="K26" s="65" t="str">
        <f aca="false">IF(I26="","",IF(I26&gt;=0.18,"✓ Cumple","✗ Por debajo"))</f>
        <v>✓ Cumple</v>
      </c>
      <c r="L26" s="65" t="str">
        <f aca="false">IF(J26="","",IF(J26&gt;=0.075,"✓ Cumple","✗ Por debajo"))</f>
        <v>✓ Cumple</v>
      </c>
    </row>
    <row r="27" customFormat="false" ht="15.75" hidden="false" customHeight="true" outlineLevel="0" collapsed="false">
      <c r="A27" s="66" t="n">
        <v>2022</v>
      </c>
      <c r="B27" s="67" t="s">
        <v>270</v>
      </c>
      <c r="C27" s="63" t="n">
        <v>2760</v>
      </c>
      <c r="D27" s="62"/>
      <c r="E27" s="63" t="n">
        <v>1041</v>
      </c>
      <c r="F27" s="63" t="n">
        <v>269</v>
      </c>
      <c r="G27" s="63" t="n">
        <v>35</v>
      </c>
      <c r="H27" s="63" t="n">
        <v>2</v>
      </c>
      <c r="I27" s="64" t="n">
        <f aca="false">IF(AND(C27&lt;&gt;"",E27&lt;&gt;""),E27/C27,"")</f>
        <v>0.377173913043478</v>
      </c>
      <c r="J27" s="64" t="n">
        <f aca="false">IF(AND(E27&lt;&gt;"",F27&lt;&gt;""),F27/E27,"")</f>
        <v>0.258405379442843</v>
      </c>
      <c r="K27" s="65" t="str">
        <f aca="false">IF(I27="","",IF(I27&gt;=0.18,"✓ Cumple","✗ Por debajo"))</f>
        <v>✓ Cumple</v>
      </c>
      <c r="L27" s="65" t="str">
        <f aca="false">IF(J27="","",IF(J27&gt;=0.075,"✓ Cumple","✗ Por debajo"))</f>
        <v>✓ Cumple</v>
      </c>
    </row>
    <row r="28" customFormat="false" ht="15.75" hidden="false" customHeight="true" outlineLevel="0" collapsed="false">
      <c r="A28" s="60" t="n">
        <v>2023</v>
      </c>
      <c r="B28" s="61" t="s">
        <v>330</v>
      </c>
      <c r="C28" s="63" t="n">
        <v>2865</v>
      </c>
      <c r="D28" s="62"/>
      <c r="E28" s="63" t="n">
        <v>1596</v>
      </c>
      <c r="F28" s="63" t="n">
        <v>152</v>
      </c>
      <c r="G28" s="63" t="n">
        <v>43</v>
      </c>
      <c r="H28" s="63" t="n">
        <v>2</v>
      </c>
      <c r="I28" s="64" t="n">
        <f aca="false">IF(AND(C28&lt;&gt;"",E28&lt;&gt;""),E28/C28,"")</f>
        <v>0.557068062827225</v>
      </c>
      <c r="J28" s="64" t="n">
        <f aca="false">IF(AND(E28&lt;&gt;"",F28&lt;&gt;""),F28/E28,"")</f>
        <v>0.0952380952380952</v>
      </c>
      <c r="K28" s="65" t="str">
        <f aca="false">IF(I28="","",IF(I28&gt;=0.18,"✓ Cumple","✗ Por debajo"))</f>
        <v>✓ Cumple</v>
      </c>
      <c r="L28" s="65" t="str">
        <f aca="false">IF(J28="","",IF(J28&gt;=0.075,"✓ Cumple","✗ Por debajo"))</f>
        <v>✓ Cumple</v>
      </c>
    </row>
    <row r="29" customFormat="false" ht="15.75" hidden="false" customHeight="true" outlineLevel="0" collapsed="false">
      <c r="A29" s="66" t="n">
        <v>2023</v>
      </c>
      <c r="B29" s="67" t="s">
        <v>331</v>
      </c>
      <c r="C29" s="63" t="n">
        <v>2877</v>
      </c>
      <c r="D29" s="63" t="n">
        <v>3867</v>
      </c>
      <c r="E29" s="63" t="n">
        <v>795</v>
      </c>
      <c r="F29" s="63" t="n">
        <v>340</v>
      </c>
      <c r="G29" s="63" t="n">
        <v>19</v>
      </c>
      <c r="H29" s="63" t="n">
        <v>4</v>
      </c>
      <c r="I29" s="64" t="n">
        <f aca="false">IF(AND(C29&lt;&gt;"",E29&lt;&gt;""),E29/C29,"")</f>
        <v>0.276329509906152</v>
      </c>
      <c r="J29" s="64" t="n">
        <f aca="false">IF(AND(E29&lt;&gt;"",F29&lt;&gt;""),F29/E29,"")</f>
        <v>0.427672955974843</v>
      </c>
      <c r="K29" s="65" t="str">
        <f aca="false">IF(I29="","",IF(I29&gt;=0.18,"✓ Cumple","✗ Por debajo"))</f>
        <v>✓ Cumple</v>
      </c>
      <c r="L29" s="65" t="str">
        <f aca="false">IF(J29="","",IF(J29&gt;=0.075,"✓ Cumple","✗ Por debajo"))</f>
        <v>✓ Cumple</v>
      </c>
    </row>
    <row r="30" customFormat="false" ht="15.75" hidden="false" customHeight="true" outlineLevel="0" collapsed="false">
      <c r="A30" s="60" t="n">
        <v>2023</v>
      </c>
      <c r="B30" s="61" t="s">
        <v>332</v>
      </c>
      <c r="C30" s="63" t="n">
        <v>2911</v>
      </c>
      <c r="D30" s="62"/>
      <c r="E30" s="63" t="n">
        <v>436</v>
      </c>
      <c r="F30" s="63" t="n">
        <v>39</v>
      </c>
      <c r="G30" s="63" t="n">
        <v>24</v>
      </c>
      <c r="H30" s="63" t="n">
        <v>2</v>
      </c>
      <c r="I30" s="64" t="n">
        <f aca="false">IF(AND(C30&lt;&gt;"",E30&lt;&gt;""),E30/C30,"")</f>
        <v>0.149776709034696</v>
      </c>
      <c r="J30" s="64" t="n">
        <f aca="false">IF(AND(E30&lt;&gt;"",F30&lt;&gt;""),F30/E30,"")</f>
        <v>0.0894495412844037</v>
      </c>
      <c r="K30" s="65" t="str">
        <f aca="false">IF(I30="","",IF(I30&gt;=0.18,"✓ Cumple","✗ Por debajo"))</f>
        <v>✗ Por debajo</v>
      </c>
      <c r="L30" s="65" t="str">
        <f aca="false">IF(J30="","",IF(J30&gt;=0.075,"✓ Cumple","✗ Por debajo"))</f>
        <v>✓ Cumple</v>
      </c>
    </row>
    <row r="31" customFormat="false" ht="15.75" hidden="false" customHeight="true" outlineLevel="0" collapsed="false">
      <c r="A31" s="66" t="n">
        <v>2023</v>
      </c>
      <c r="B31" s="67" t="s">
        <v>333</v>
      </c>
      <c r="C31" s="63" t="n">
        <v>2911</v>
      </c>
      <c r="D31" s="63" t="n">
        <v>1123</v>
      </c>
      <c r="E31" s="63" t="n">
        <v>136</v>
      </c>
      <c r="F31" s="63" t="n">
        <v>20</v>
      </c>
      <c r="G31" s="63" t="n">
        <v>2</v>
      </c>
      <c r="H31" s="63" t="n">
        <v>2</v>
      </c>
      <c r="I31" s="64" t="n">
        <f aca="false">IF(AND(C31&lt;&gt;"",E31&lt;&gt;""),E31/C31,"")</f>
        <v>0.046719340432841</v>
      </c>
      <c r="J31" s="64" t="n">
        <f aca="false">IF(AND(E31&lt;&gt;"",F31&lt;&gt;""),F31/E31,"")</f>
        <v>0.147058823529412</v>
      </c>
      <c r="K31" s="65" t="str">
        <f aca="false">IF(I31="","",IF(I31&gt;=0.18,"✓ Cumple","✗ Por debajo"))</f>
        <v>✗ Por debajo</v>
      </c>
      <c r="L31" s="65" t="str">
        <f aca="false">IF(J31="","",IF(J31&gt;=0.075,"✓ Cumple","✗ Por debajo"))</f>
        <v>✓ Cumple</v>
      </c>
    </row>
    <row r="32" customFormat="false" ht="15.75" hidden="false" customHeight="true" outlineLevel="0" collapsed="false">
      <c r="A32" s="60" t="n">
        <v>2023</v>
      </c>
      <c r="B32" s="61" t="s">
        <v>65</v>
      </c>
      <c r="C32" s="63" t="n">
        <v>2939</v>
      </c>
      <c r="D32" s="63" t="n">
        <v>398</v>
      </c>
      <c r="E32" s="63" t="n">
        <v>203</v>
      </c>
      <c r="F32" s="63" t="n">
        <v>9</v>
      </c>
      <c r="G32" s="63" t="n">
        <v>5</v>
      </c>
      <c r="H32" s="63" t="n">
        <v>5</v>
      </c>
      <c r="I32" s="64" t="n">
        <f aca="false">IF(AND(C32&lt;&gt;"",E32&lt;&gt;""),E32/C32,"")</f>
        <v>0.0690711126233413</v>
      </c>
      <c r="J32" s="64" t="n">
        <f aca="false">IF(AND(E32&lt;&gt;"",F32&lt;&gt;""),F32/E32,"")</f>
        <v>0.0443349753694581</v>
      </c>
      <c r="K32" s="65" t="str">
        <f aca="false">IF(I32="","",IF(I32&gt;=0.18,"✓ Cumple","✗ Por debajo"))</f>
        <v>✗ Por debajo</v>
      </c>
      <c r="L32" s="65" t="str">
        <f aca="false">IF(J32="","",IF(J32&gt;=0.075,"✓ Cumple","✗ Por debajo"))</f>
        <v>✗ Por debajo</v>
      </c>
    </row>
    <row r="33" customFormat="false" ht="15.75" hidden="false" customHeight="true" outlineLevel="0" collapsed="false">
      <c r="A33" s="66" t="n">
        <v>2023</v>
      </c>
      <c r="B33" s="67" t="s">
        <v>108</v>
      </c>
      <c r="C33" s="63" t="n">
        <v>2957</v>
      </c>
      <c r="D33" s="63" t="n">
        <v>688</v>
      </c>
      <c r="E33" s="63" t="n">
        <v>144</v>
      </c>
      <c r="F33" s="63" t="n">
        <v>9</v>
      </c>
      <c r="G33" s="63" t="n">
        <v>4</v>
      </c>
      <c r="H33" s="63" t="n">
        <v>4</v>
      </c>
      <c r="I33" s="64" t="n">
        <f aca="false">IF(AND(C33&lt;&gt;"",E33&lt;&gt;""),E33/C33,"")</f>
        <v>0.0486980047345282</v>
      </c>
      <c r="J33" s="64" t="n">
        <f aca="false">IF(AND(E33&lt;&gt;"",F33&lt;&gt;""),F33/E33,"")</f>
        <v>0.0625</v>
      </c>
      <c r="K33" s="65" t="str">
        <f aca="false">IF(I33="","",IF(I33&gt;=0.18,"✓ Cumple","✗ Por debajo"))</f>
        <v>✗ Por debajo</v>
      </c>
      <c r="L33" s="65" t="str">
        <f aca="false">IF(J33="","",IF(J33&gt;=0.075,"✓ Cumple","✗ Por debajo"))</f>
        <v>✗ Por debajo</v>
      </c>
    </row>
    <row r="34" customFormat="false" ht="15.75" hidden="false" customHeight="true" outlineLevel="0" collapsed="false">
      <c r="A34" s="60" t="n">
        <v>2023</v>
      </c>
      <c r="B34" s="61" t="s">
        <v>137</v>
      </c>
      <c r="C34" s="63" t="n">
        <v>2957</v>
      </c>
      <c r="D34" s="63" t="n">
        <v>850</v>
      </c>
      <c r="E34" s="63" t="n">
        <v>213</v>
      </c>
      <c r="F34" s="63" t="n">
        <v>17</v>
      </c>
      <c r="G34" s="63" t="n">
        <v>3</v>
      </c>
      <c r="H34" s="63" t="n">
        <v>3</v>
      </c>
      <c r="I34" s="64" t="n">
        <f aca="false">IF(AND(C34&lt;&gt;"",E34&lt;&gt;""),E34/C34,"")</f>
        <v>0.0720324653364897</v>
      </c>
      <c r="J34" s="64" t="n">
        <f aca="false">IF(AND(E34&lt;&gt;"",F34&lt;&gt;""),F34/E34,"")</f>
        <v>0.07981220657277</v>
      </c>
      <c r="K34" s="65" t="str">
        <f aca="false">IF(I34="","",IF(I34&gt;=0.18,"✓ Cumple","✗ Por debajo"))</f>
        <v>✗ Por debajo</v>
      </c>
      <c r="L34" s="65" t="str">
        <f aca="false">IF(J34="","",IF(J34&gt;=0.075,"✓ Cumple","✗ Por debajo"))</f>
        <v>✓ Cumple</v>
      </c>
    </row>
    <row r="35" customFormat="false" ht="15.75" hidden="false" customHeight="true" outlineLevel="0" collapsed="false">
      <c r="A35" s="66" t="n">
        <v>2023</v>
      </c>
      <c r="B35" s="67" t="s">
        <v>166</v>
      </c>
      <c r="C35" s="63" t="n">
        <v>2796</v>
      </c>
      <c r="D35" s="63" t="n">
        <v>1113</v>
      </c>
      <c r="E35" s="63" t="n">
        <v>285</v>
      </c>
      <c r="F35" s="63" t="n">
        <v>13</v>
      </c>
      <c r="G35" s="63" t="n">
        <v>3</v>
      </c>
      <c r="H35" s="63" t="n">
        <v>3</v>
      </c>
      <c r="I35" s="64" t="n">
        <f aca="false">IF(AND(C35&lt;&gt;"",E35&lt;&gt;""),E35/C35,"")</f>
        <v>0.101931330472103</v>
      </c>
      <c r="J35" s="64" t="n">
        <f aca="false">IF(AND(E35&lt;&gt;"",F35&lt;&gt;""),F35/E35,"")</f>
        <v>0.0456140350877193</v>
      </c>
      <c r="K35" s="65" t="str">
        <f aca="false">IF(I35="","",IF(I35&gt;=0.18,"✓ Cumple","✗ Por debajo"))</f>
        <v>✗ Por debajo</v>
      </c>
      <c r="L35" s="65" t="str">
        <f aca="false">IF(J35="","",IF(J35&gt;=0.075,"✓ Cumple","✗ Por debajo"))</f>
        <v>✗ Por debajo</v>
      </c>
    </row>
    <row r="36" customFormat="false" ht="15.75" hidden="false" customHeight="true" outlineLevel="0" collapsed="false">
      <c r="A36" s="60" t="n">
        <v>2023</v>
      </c>
      <c r="B36" s="61" t="s">
        <v>334</v>
      </c>
      <c r="C36" s="63" t="n">
        <v>2796</v>
      </c>
      <c r="D36" s="63" t="n">
        <v>1085</v>
      </c>
      <c r="E36" s="63" t="n">
        <v>23</v>
      </c>
      <c r="F36" s="63" t="n">
        <v>4</v>
      </c>
      <c r="G36" s="63" t="n">
        <v>1</v>
      </c>
      <c r="H36" s="63" t="n">
        <v>1</v>
      </c>
      <c r="I36" s="64" t="n">
        <f aca="false">IF(AND(C36&lt;&gt;"",E36&lt;&gt;""),E36/C36,"")</f>
        <v>0.00822603719599428</v>
      </c>
      <c r="J36" s="64" t="n">
        <f aca="false">IF(AND(E36&lt;&gt;"",F36&lt;&gt;""),F36/E36,"")</f>
        <v>0.173913043478261</v>
      </c>
      <c r="K36" s="65" t="str">
        <f aca="false">IF(I36="","",IF(I36&gt;=0.18,"✓ Cumple","✗ Por debajo"))</f>
        <v>✗ Por debajo</v>
      </c>
      <c r="L36" s="65" t="str">
        <f aca="false">IF(J36="","",IF(J36&gt;=0.075,"✓ Cumple","✗ Por debajo"))</f>
        <v>✓ Cumple</v>
      </c>
    </row>
    <row r="37" customFormat="false" ht="15.75" hidden="false" customHeight="true" outlineLevel="0" collapsed="false">
      <c r="A37" s="66" t="n">
        <v>2023</v>
      </c>
      <c r="B37" s="67" t="s">
        <v>218</v>
      </c>
      <c r="C37" s="63" t="n">
        <v>2801</v>
      </c>
      <c r="D37" s="63" t="n">
        <v>1641</v>
      </c>
      <c r="E37" s="63" t="n">
        <v>64</v>
      </c>
      <c r="F37" s="63" t="n">
        <v>5</v>
      </c>
      <c r="G37" s="63" t="n">
        <v>1</v>
      </c>
      <c r="H37" s="63" t="n">
        <v>1</v>
      </c>
      <c r="I37" s="64" t="n">
        <f aca="false">IF(AND(C37&lt;&gt;"",E37&lt;&gt;""),E37/C37,"")</f>
        <v>0.0228489825062478</v>
      </c>
      <c r="J37" s="64" t="n">
        <f aca="false">IF(AND(E37&lt;&gt;"",F37&lt;&gt;""),F37/E37,"")</f>
        <v>0.078125</v>
      </c>
      <c r="K37" s="65" t="str">
        <f aca="false">IF(I37="","",IF(I37&gt;=0.18,"✓ Cumple","✗ Por debajo"))</f>
        <v>✗ Por debajo</v>
      </c>
      <c r="L37" s="65" t="str">
        <f aca="false">IF(J37="","",IF(J37&gt;=0.075,"✓ Cumple","✗ Por debajo"))</f>
        <v>✓ Cumple</v>
      </c>
    </row>
    <row r="38" customFormat="false" ht="15.75" hidden="false" customHeight="true" outlineLevel="0" collapsed="false">
      <c r="A38" s="60" t="n">
        <v>2023</v>
      </c>
      <c r="B38" s="61" t="s">
        <v>244</v>
      </c>
      <c r="C38" s="63" t="n">
        <v>2801</v>
      </c>
      <c r="D38" s="63" t="n">
        <v>433</v>
      </c>
      <c r="E38" s="63" t="n">
        <v>0</v>
      </c>
      <c r="F38" s="63" t="n">
        <v>0</v>
      </c>
      <c r="G38" s="63" t="n">
        <v>0</v>
      </c>
      <c r="H38" s="63" t="n">
        <v>0</v>
      </c>
      <c r="I38" s="64" t="n">
        <f aca="false">IF(AND(C38&lt;&gt;"",E38&lt;&gt;""),E38/C38,"")</f>
        <v>0</v>
      </c>
      <c r="J38" s="64"/>
      <c r="K38" s="65" t="str">
        <f aca="false">IF(I38="","",IF(I38&gt;=0.18,"✓ Cumple","✗ Por debajo"))</f>
        <v>✗ Por debajo</v>
      </c>
      <c r="L38" s="65" t="str">
        <f aca="false">IF(J38="","",IF(J38&gt;=0.075,"✓ Cumple","✗ Por debajo"))</f>
        <v/>
      </c>
    </row>
    <row r="39" customFormat="false" ht="15.75" hidden="false" customHeight="true" outlineLevel="0" collapsed="false">
      <c r="A39" s="66" t="n">
        <v>2023</v>
      </c>
      <c r="B39" s="67" t="s">
        <v>270</v>
      </c>
      <c r="C39" s="63" t="n">
        <v>3040</v>
      </c>
      <c r="D39" s="63" t="n">
        <v>1012</v>
      </c>
      <c r="E39" s="63" t="n">
        <v>1012</v>
      </c>
      <c r="F39" s="63" t="n">
        <v>96</v>
      </c>
      <c r="G39" s="63" t="n">
        <v>3</v>
      </c>
      <c r="H39" s="63" t="n">
        <v>2</v>
      </c>
      <c r="I39" s="64" t="n">
        <f aca="false">IF(AND(C39&lt;&gt;"",E39&lt;&gt;""),E39/C39,"")</f>
        <v>0.332894736842105</v>
      </c>
      <c r="J39" s="64" t="n">
        <f aca="false">IF(AND(E39&lt;&gt;"",F39&lt;&gt;""),F39/E39,"")</f>
        <v>0.0948616600790514</v>
      </c>
      <c r="K39" s="65" t="str">
        <f aca="false">IF(I39="","",IF(I39&gt;=0.18,"✓ Cumple","✗ Por debajo"))</f>
        <v>✓ Cumple</v>
      </c>
      <c r="L39" s="65" t="str">
        <f aca="false">IF(J39="","",IF(J39&gt;=0.075,"✓ Cumple","✗ Por debajo"))</f>
        <v>✓ Cumple</v>
      </c>
    </row>
    <row r="40" customFormat="false" ht="15.75" hidden="false" customHeight="true" outlineLevel="0" collapsed="false">
      <c r="A40" s="60" t="n">
        <v>2024</v>
      </c>
      <c r="B40" s="61" t="s">
        <v>330</v>
      </c>
      <c r="C40" s="63" t="n">
        <v>3052</v>
      </c>
      <c r="D40" s="62"/>
      <c r="E40" s="63" t="n">
        <v>770</v>
      </c>
      <c r="F40" s="63" t="n">
        <v>15</v>
      </c>
      <c r="G40" s="63" t="n">
        <v>13</v>
      </c>
      <c r="H40" s="63" t="n">
        <v>1</v>
      </c>
      <c r="I40" s="64" t="n">
        <f aca="false">IF(AND(C40&lt;&gt;"",E40&lt;&gt;""),E40/C40,"")</f>
        <v>0.252293577981651</v>
      </c>
      <c r="J40" s="64" t="n">
        <f aca="false">IF(AND(E40&lt;&gt;"",F40&lt;&gt;""),F40/E40,"")</f>
        <v>0.0194805194805195</v>
      </c>
      <c r="K40" s="65" t="str">
        <f aca="false">IF(I40="","",IF(I40&gt;=0.18,"✓ Cumple","✗ Por debajo"))</f>
        <v>✓ Cumple</v>
      </c>
      <c r="L40" s="65" t="str">
        <f aca="false">IF(J40="","",IF(J40&gt;=0.075,"✓ Cumple","✗ Por debajo"))</f>
        <v>✗ Por debajo</v>
      </c>
    </row>
    <row r="41" customFormat="false" ht="15.75" hidden="false" customHeight="true" outlineLevel="0" collapsed="false">
      <c r="A41" s="66" t="n">
        <v>2024</v>
      </c>
      <c r="B41" s="67" t="s">
        <v>331</v>
      </c>
      <c r="C41" s="63" t="n">
        <v>3066</v>
      </c>
      <c r="D41" s="63" t="n">
        <v>2759</v>
      </c>
      <c r="E41" s="63" t="n">
        <v>1294</v>
      </c>
      <c r="F41" s="63" t="n">
        <v>147</v>
      </c>
      <c r="G41" s="63" t="n">
        <v>14</v>
      </c>
      <c r="H41" s="63" t="n">
        <v>2</v>
      </c>
      <c r="I41" s="64" t="n">
        <f aca="false">IF(AND(C41&lt;&gt;"",E41&lt;&gt;""),E41/C41,"")</f>
        <v>0.42204827136334</v>
      </c>
      <c r="J41" s="64" t="n">
        <f aca="false">IF(AND(E41&lt;&gt;"",F41&lt;&gt;""),F41/E41,"")</f>
        <v>0.113601236476043</v>
      </c>
      <c r="K41" s="65" t="str">
        <f aca="false">IF(I41="","",IF(I41&gt;=0.18,"✓ Cumple","✗ Por debajo"))</f>
        <v>✓ Cumple</v>
      </c>
      <c r="L41" s="65" t="str">
        <f aca="false">IF(J41="","",IF(J41&gt;=0.075,"✓ Cumple","✗ Por debajo"))</f>
        <v>✓ Cumple</v>
      </c>
    </row>
    <row r="42" customFormat="false" ht="15.75" hidden="false" customHeight="true" outlineLevel="0" collapsed="false">
      <c r="A42" s="60" t="n">
        <v>2024</v>
      </c>
      <c r="B42" s="61" t="s">
        <v>332</v>
      </c>
      <c r="C42" s="63" t="n">
        <v>3085</v>
      </c>
      <c r="D42" s="63" t="n">
        <v>2759</v>
      </c>
      <c r="E42" s="63" t="n">
        <v>1119</v>
      </c>
      <c r="F42" s="63" t="n">
        <v>72</v>
      </c>
      <c r="G42" s="63" t="n">
        <v>24</v>
      </c>
      <c r="H42" s="63" t="n">
        <v>1</v>
      </c>
      <c r="I42" s="64" t="n">
        <f aca="false">IF(AND(C42&lt;&gt;"",E42&lt;&gt;""),E42/C42,"")</f>
        <v>0.362722852512156</v>
      </c>
      <c r="J42" s="64" t="n">
        <f aca="false">IF(AND(E42&lt;&gt;"",F42&lt;&gt;""),F42/E42,"")</f>
        <v>0.064343163538874</v>
      </c>
      <c r="K42" s="65" t="str">
        <f aca="false">IF(I42="","",IF(I42&gt;=0.18,"✓ Cumple","✗ Por debajo"))</f>
        <v>✓ Cumple</v>
      </c>
      <c r="L42" s="65" t="str">
        <f aca="false">IF(J42="","",IF(J42&gt;=0.075,"✓ Cumple","✗ Por debajo"))</f>
        <v>✗ Por debajo</v>
      </c>
    </row>
    <row r="43" customFormat="false" ht="15.75" hidden="false" customHeight="true" outlineLevel="0" collapsed="false">
      <c r="A43" s="66" t="n">
        <v>2024</v>
      </c>
      <c r="B43" s="67" t="s">
        <v>333</v>
      </c>
      <c r="C43" s="63" t="n">
        <v>3090</v>
      </c>
      <c r="D43" s="63" t="n">
        <v>1123</v>
      </c>
      <c r="E43" s="63" t="n">
        <v>1031</v>
      </c>
      <c r="F43" s="63" t="n">
        <v>52</v>
      </c>
      <c r="G43" s="63" t="n">
        <v>10</v>
      </c>
      <c r="H43" s="63" t="n">
        <v>1</v>
      </c>
      <c r="I43" s="64" t="n">
        <f aca="false">IF(AND(C43&lt;&gt;"",E43&lt;&gt;""),E43/C43,"")</f>
        <v>0.333656957928803</v>
      </c>
      <c r="J43" s="64" t="n">
        <f aca="false">IF(AND(E43&lt;&gt;"",F43&lt;&gt;""),F43/E43,"")</f>
        <v>0.0504364694471387</v>
      </c>
      <c r="K43" s="65" t="str">
        <f aca="false">IF(I43="","",IF(I43&gt;=0.18,"✓ Cumple","✗ Por debajo"))</f>
        <v>✓ Cumple</v>
      </c>
      <c r="L43" s="65" t="str">
        <f aca="false">IF(J43="","",IF(J43&gt;=0.075,"✓ Cumple","✗ Por debajo"))</f>
        <v>✗ Por debajo</v>
      </c>
    </row>
    <row r="44" customFormat="false" ht="15.75" hidden="false" customHeight="true" outlineLevel="0" collapsed="false">
      <c r="A44" s="60" t="n">
        <v>2024</v>
      </c>
      <c r="B44" s="61" t="s">
        <v>65</v>
      </c>
      <c r="C44" s="63" t="n">
        <v>3097</v>
      </c>
      <c r="D44" s="63" t="n">
        <v>2237</v>
      </c>
      <c r="E44" s="63" t="n">
        <v>496</v>
      </c>
      <c r="F44" s="63" t="n">
        <v>92</v>
      </c>
      <c r="G44" s="63" t="n">
        <v>7</v>
      </c>
      <c r="H44" s="63" t="n">
        <v>3</v>
      </c>
      <c r="I44" s="64" t="n">
        <f aca="false">IF(AND(C44&lt;&gt;"",E44&lt;&gt;""),E44/C44,"")</f>
        <v>0.160154988698741</v>
      </c>
      <c r="J44" s="64" t="n">
        <f aca="false">IF(AND(E44&lt;&gt;"",F44&lt;&gt;""),F44/E44,"")</f>
        <v>0.185483870967742</v>
      </c>
      <c r="K44" s="65" t="str">
        <f aca="false">IF(I44="","",IF(I44&gt;=0.18,"✓ Cumple","✗ Por debajo"))</f>
        <v>✗ Por debajo</v>
      </c>
      <c r="L44" s="65" t="str">
        <f aca="false">IF(J44="","",IF(J44&gt;=0.075,"✓ Cumple","✗ Por debajo"))</f>
        <v>✓ Cumple</v>
      </c>
    </row>
    <row r="45" customFormat="false" ht="15.75" hidden="false" customHeight="true" outlineLevel="0" collapsed="false">
      <c r="A45" s="66" t="n">
        <v>2024</v>
      </c>
      <c r="B45" s="67" t="s">
        <v>108</v>
      </c>
      <c r="C45" s="63" t="n">
        <v>3108</v>
      </c>
      <c r="D45" s="63" t="n">
        <v>401</v>
      </c>
      <c r="E45" s="63" t="n">
        <v>34</v>
      </c>
      <c r="F45" s="63" t="n">
        <v>11</v>
      </c>
      <c r="G45" s="63" t="n">
        <v>1</v>
      </c>
      <c r="H45" s="63" t="n">
        <v>1</v>
      </c>
      <c r="I45" s="64" t="n">
        <f aca="false">IF(AND(C45&lt;&gt;"",E45&lt;&gt;""),E45/C45,"")</f>
        <v>0.0109395109395109</v>
      </c>
      <c r="J45" s="64" t="n">
        <f aca="false">IF(AND(E45&lt;&gt;"",F45&lt;&gt;""),F45/E45,"")</f>
        <v>0.323529411764706</v>
      </c>
      <c r="K45" s="65" t="str">
        <f aca="false">IF(I45="","",IF(I45&gt;=0.18,"✓ Cumple","✗ Por debajo"))</f>
        <v>✗ Por debajo</v>
      </c>
      <c r="L45" s="65" t="str">
        <f aca="false">IF(J45="","",IF(J45&gt;=0.075,"✓ Cumple","✗ Por debajo"))</f>
        <v>✓ Cumple</v>
      </c>
    </row>
    <row r="46" customFormat="false" ht="15.75" hidden="false" customHeight="true" outlineLevel="0" collapsed="false">
      <c r="A46" s="60" t="n">
        <v>2024</v>
      </c>
      <c r="B46" s="61" t="s">
        <v>137</v>
      </c>
      <c r="C46" s="63" t="n">
        <v>3108</v>
      </c>
      <c r="D46" s="63" t="n">
        <v>376</v>
      </c>
      <c r="E46" s="63" t="n">
        <v>76</v>
      </c>
      <c r="F46" s="63" t="n">
        <v>13</v>
      </c>
      <c r="G46" s="63" t="n">
        <v>3</v>
      </c>
      <c r="H46" s="63" t="n">
        <v>3</v>
      </c>
      <c r="I46" s="64" t="n">
        <f aca="false">IF(AND(C46&lt;&gt;"",E46&lt;&gt;""),E46/C46,"")</f>
        <v>0.0244530244530245</v>
      </c>
      <c r="J46" s="64" t="n">
        <f aca="false">IF(AND(E46&lt;&gt;"",F46&lt;&gt;""),F46/E46,"")</f>
        <v>0.171052631578947</v>
      </c>
      <c r="K46" s="65" t="str">
        <f aca="false">IF(I46="","",IF(I46&gt;=0.18,"✓ Cumple","✗ Por debajo"))</f>
        <v>✗ Por debajo</v>
      </c>
      <c r="L46" s="65" t="str">
        <f aca="false">IF(J46="","",IF(J46&gt;=0.075,"✓ Cumple","✗ Por debajo"))</f>
        <v>✓ Cumple</v>
      </c>
    </row>
    <row r="47" customFormat="false" ht="15.75" hidden="false" customHeight="true" outlineLevel="0" collapsed="false">
      <c r="A47" s="66" t="n">
        <v>2024</v>
      </c>
      <c r="B47" s="67" t="s">
        <v>166</v>
      </c>
      <c r="C47" s="63" t="n">
        <v>3114</v>
      </c>
      <c r="D47" s="63" t="n">
        <v>312</v>
      </c>
      <c r="E47" s="63" t="n">
        <v>249</v>
      </c>
      <c r="F47" s="63" t="n">
        <v>60</v>
      </c>
      <c r="G47" s="63" t="n">
        <v>6</v>
      </c>
      <c r="H47" s="63" t="n">
        <v>1</v>
      </c>
      <c r="I47" s="64" t="n">
        <f aca="false">IF(AND(C47&lt;&gt;"",E47&lt;&gt;""),E47/C47,"")</f>
        <v>0.0799614643545279</v>
      </c>
      <c r="J47" s="64" t="n">
        <f aca="false">IF(AND(E47&lt;&gt;"",F47&lt;&gt;""),F47/E47,"")</f>
        <v>0.240963855421687</v>
      </c>
      <c r="K47" s="65" t="str">
        <f aca="false">IF(I47="","",IF(I47&gt;=0.18,"✓ Cumple","✗ Por debajo"))</f>
        <v>✗ Por debajo</v>
      </c>
      <c r="L47" s="65" t="str">
        <f aca="false">IF(J47="","",IF(J47&gt;=0.075,"✓ Cumple","✗ Por debajo"))</f>
        <v>✓ Cumple</v>
      </c>
    </row>
    <row r="48" customFormat="false" ht="15.75" hidden="false" customHeight="true" outlineLevel="0" collapsed="false">
      <c r="A48" s="60" t="n">
        <v>2024</v>
      </c>
      <c r="B48" s="61" t="s">
        <v>334</v>
      </c>
      <c r="C48" s="63" t="n">
        <v>3120</v>
      </c>
      <c r="D48" s="63" t="n">
        <v>979</v>
      </c>
      <c r="E48" s="63" t="n">
        <v>939</v>
      </c>
      <c r="F48" s="63" t="n">
        <v>24</v>
      </c>
      <c r="G48" s="63" t="n">
        <v>17</v>
      </c>
      <c r="H48" s="63" t="n">
        <v>1</v>
      </c>
      <c r="I48" s="64" t="n">
        <f aca="false">IF(AND(C48&lt;&gt;"",E48&lt;&gt;""),E48/C48,"")</f>
        <v>0.300961538461538</v>
      </c>
      <c r="J48" s="64" t="n">
        <f aca="false">IF(AND(E48&lt;&gt;"",F48&lt;&gt;""),F48/E48,"")</f>
        <v>0.0255591054313099</v>
      </c>
      <c r="K48" s="65" t="str">
        <f aca="false">IF(I48="","",IF(I48&gt;=0.18,"✓ Cumple","✗ Por debajo"))</f>
        <v>✓ Cumple</v>
      </c>
      <c r="L48" s="65" t="str">
        <f aca="false">IF(J48="","",IF(J48&gt;=0.075,"✓ Cumple","✗ Por debajo"))</f>
        <v>✗ Por debajo</v>
      </c>
    </row>
    <row r="49" customFormat="false" ht="15.75" hidden="false" customHeight="true" outlineLevel="0" collapsed="false">
      <c r="A49" s="66" t="n">
        <v>2024</v>
      </c>
      <c r="B49" s="67" t="s">
        <v>218</v>
      </c>
      <c r="C49" s="63" t="n">
        <v>3120</v>
      </c>
      <c r="D49" s="63" t="n">
        <v>1846</v>
      </c>
      <c r="E49" s="63" t="n">
        <v>502</v>
      </c>
      <c r="F49" s="63" t="n">
        <v>17</v>
      </c>
      <c r="G49" s="63" t="n">
        <v>6</v>
      </c>
      <c r="H49" s="63" t="n">
        <v>1</v>
      </c>
      <c r="I49" s="64" t="n">
        <f aca="false">IF(AND(C49&lt;&gt;"",E49&lt;&gt;""),E49/C49,"")</f>
        <v>0.160897435897436</v>
      </c>
      <c r="J49" s="64" t="n">
        <f aca="false">IF(AND(E49&lt;&gt;"",F49&lt;&gt;""),F49/E49,"")</f>
        <v>0.0338645418326693</v>
      </c>
      <c r="K49" s="65" t="str">
        <f aca="false">IF(I49="","",IF(I49&gt;=0.18,"✓ Cumple","✗ Por debajo"))</f>
        <v>✗ Por debajo</v>
      </c>
      <c r="L49" s="65" t="str">
        <f aca="false">IF(J49="","",IF(J49&gt;=0.075,"✓ Cumple","✗ Por debajo"))</f>
        <v>✗ Por debajo</v>
      </c>
    </row>
    <row r="50" customFormat="false" ht="15.75" hidden="false" customHeight="true" outlineLevel="0" collapsed="false">
      <c r="A50" s="60" t="n">
        <v>2024</v>
      </c>
      <c r="B50" s="61" t="s">
        <v>244</v>
      </c>
      <c r="C50" s="63" t="n">
        <v>3120</v>
      </c>
      <c r="D50" s="63" t="n">
        <v>1088</v>
      </c>
      <c r="E50" s="63" t="n">
        <v>134</v>
      </c>
      <c r="F50" s="63" t="n">
        <v>5</v>
      </c>
      <c r="G50" s="63" t="n">
        <v>8</v>
      </c>
      <c r="H50" s="63" t="n">
        <v>0</v>
      </c>
      <c r="I50" s="64" t="n">
        <f aca="false">IF(AND(C50&lt;&gt;"",E50&lt;&gt;""),E50/C50,"")</f>
        <v>0.042948717948718</v>
      </c>
      <c r="J50" s="64" t="n">
        <f aca="false">IF(AND(E50&lt;&gt;"",F50&lt;&gt;""),F50/E50,"")</f>
        <v>0.0373134328358209</v>
      </c>
      <c r="K50" s="65" t="str">
        <f aca="false">IF(I50="","",IF(I50&gt;=0.18,"✓ Cumple","✗ Por debajo"))</f>
        <v>✗ Por debajo</v>
      </c>
      <c r="L50" s="65" t="str">
        <f aca="false">IF(J50="","",IF(J50&gt;=0.075,"✓ Cumple","✗ Por debajo"))</f>
        <v>✗ Por debajo</v>
      </c>
    </row>
    <row r="51" customFormat="false" ht="15.75" hidden="false" customHeight="true" outlineLevel="0" collapsed="false">
      <c r="A51" s="66" t="n">
        <v>2024</v>
      </c>
      <c r="B51" s="67" t="s">
        <v>270</v>
      </c>
      <c r="C51" s="63" t="n">
        <v>3123</v>
      </c>
      <c r="D51" s="63" t="n">
        <v>3326</v>
      </c>
      <c r="E51" s="63" t="n">
        <v>577</v>
      </c>
      <c r="F51" s="63" t="n">
        <v>57</v>
      </c>
      <c r="G51" s="63" t="n">
        <v>6</v>
      </c>
      <c r="H51" s="63" t="n">
        <v>1</v>
      </c>
      <c r="I51" s="64" t="n">
        <f aca="false">IF(AND(C51&lt;&gt;"",E51&lt;&gt;""),E51/C51,"")</f>
        <v>0.184758245276977</v>
      </c>
      <c r="J51" s="64" t="n">
        <f aca="false">IF(AND(E51&lt;&gt;"",F51&lt;&gt;""),F51/E51,"")</f>
        <v>0.098786828422877</v>
      </c>
      <c r="K51" s="65" t="str">
        <f aca="false">IF(I51="","",IF(I51&gt;=0.18,"✓ Cumple","✗ Por debajo"))</f>
        <v>✓ Cumple</v>
      </c>
      <c r="L51" s="65" t="str">
        <f aca="false">IF(J51="","",IF(J51&gt;=0.075,"✓ Cumple","✗ Por debajo"))</f>
        <v>✓ Cumple</v>
      </c>
    </row>
    <row r="52" customFormat="false" ht="15.75" hidden="false" customHeight="true" outlineLevel="0" collapsed="false">
      <c r="A52" s="60" t="n">
        <v>2025</v>
      </c>
      <c r="B52" s="61" t="s">
        <v>330</v>
      </c>
      <c r="C52" s="63" t="n">
        <v>3124</v>
      </c>
      <c r="D52" s="63" t="n">
        <v>1721</v>
      </c>
      <c r="E52" s="63" t="n">
        <v>299</v>
      </c>
      <c r="F52" s="63" t="n">
        <v>14</v>
      </c>
      <c r="G52" s="63" t="n">
        <v>6</v>
      </c>
      <c r="H52" s="63" t="n">
        <v>0</v>
      </c>
      <c r="I52" s="64" t="n">
        <f aca="false">IF(AND(C52&lt;&gt;"",E52&lt;&gt;""),E52/C52,"")</f>
        <v>0.0957106274007682</v>
      </c>
      <c r="J52" s="64" t="n">
        <f aca="false">IF(AND(E52&lt;&gt;"",F52&lt;&gt;""),F52/E52,"")</f>
        <v>0.0468227424749164</v>
      </c>
      <c r="K52" s="65" t="str">
        <f aca="false">IF(I52="","",IF(I52&gt;=0.18,"✓ Cumple","✗ Por debajo"))</f>
        <v>✗ Por debajo</v>
      </c>
      <c r="L52" s="65" t="str">
        <f aca="false">IF(J52="","",IF(J52&gt;=0.075,"✓ Cumple","✗ Por debajo"))</f>
        <v>✗ Por debajo</v>
      </c>
    </row>
    <row r="53" customFormat="false" ht="15.75" hidden="false" customHeight="true" outlineLevel="0" collapsed="false">
      <c r="A53" s="66" t="n">
        <v>2025</v>
      </c>
      <c r="B53" s="67" t="s">
        <v>331</v>
      </c>
      <c r="C53" s="63" t="n">
        <v>3132</v>
      </c>
      <c r="D53" s="63" t="n">
        <v>1357</v>
      </c>
      <c r="E53" s="63" t="n">
        <v>202</v>
      </c>
      <c r="F53" s="63" t="n">
        <v>8</v>
      </c>
      <c r="G53" s="63" t="n">
        <v>13</v>
      </c>
      <c r="H53" s="63" t="n">
        <v>1</v>
      </c>
      <c r="I53" s="64" t="n">
        <f aca="false">IF(AND(C53&lt;&gt;"",E53&lt;&gt;""),E53/C53,"")</f>
        <v>0.0644955300127714</v>
      </c>
      <c r="J53" s="64" t="n">
        <f aca="false">IF(AND(E53&lt;&gt;"",F53&lt;&gt;""),F53/E53,"")</f>
        <v>0.0396039603960396</v>
      </c>
      <c r="K53" s="65" t="str">
        <f aca="false">IF(I53="","",IF(I53&gt;=0.18,"✓ Cumple","✗ Por debajo"))</f>
        <v>✗ Por debajo</v>
      </c>
      <c r="L53" s="65" t="str">
        <f aca="false">IF(J53="","",IF(J53&gt;=0.075,"✓ Cumple","✗ Por debajo"))</f>
        <v>✗ Por debajo</v>
      </c>
    </row>
    <row r="54" customFormat="false" ht="15.75" hidden="false" customHeight="true" outlineLevel="0" collapsed="false">
      <c r="A54" s="60" t="n">
        <v>2025</v>
      </c>
      <c r="B54" s="61" t="s">
        <v>332</v>
      </c>
      <c r="C54" s="63" t="n">
        <v>3143</v>
      </c>
      <c r="D54" s="63" t="n">
        <v>2610</v>
      </c>
      <c r="E54" s="63" t="n">
        <v>683</v>
      </c>
      <c r="F54" s="63" t="n">
        <v>62</v>
      </c>
      <c r="G54" s="63" t="n">
        <v>11</v>
      </c>
      <c r="H54" s="63" t="n">
        <v>2</v>
      </c>
      <c r="I54" s="64" t="n">
        <f aca="false">IF(AND(C54&lt;&gt;"",E54&lt;&gt;""),E54/C54,"")</f>
        <v>0.217308304167992</v>
      </c>
      <c r="J54" s="64" t="n">
        <f aca="false">IF(AND(E54&lt;&gt;"",F54&lt;&gt;""),F54/E54,"")</f>
        <v>0.0907759882869693</v>
      </c>
      <c r="K54" s="65" t="str">
        <f aca="false">IF(I54="","",IF(I54&gt;=0.18,"✓ Cumple","✗ Por debajo"))</f>
        <v>✓ Cumple</v>
      </c>
      <c r="L54" s="65" t="str">
        <f aca="false">IF(J54="","",IF(J54&gt;=0.075,"✓ Cumple","✗ Por debajo"))</f>
        <v>✓ Cumple</v>
      </c>
    </row>
    <row r="55" customFormat="false" ht="15.75" hidden="false" customHeight="true" outlineLevel="0" collapsed="false">
      <c r="A55" s="66" t="n">
        <v>2025</v>
      </c>
      <c r="B55" s="67" t="s">
        <v>333</v>
      </c>
      <c r="C55" s="63" t="n">
        <v>3149</v>
      </c>
      <c r="D55" s="63" t="n">
        <v>2124</v>
      </c>
      <c r="E55" s="63" t="n">
        <v>362</v>
      </c>
      <c r="F55" s="63" t="n">
        <v>46</v>
      </c>
      <c r="G55" s="63" t="n">
        <v>6</v>
      </c>
      <c r="H55" s="63" t="n">
        <v>2</v>
      </c>
      <c r="I55" s="64" t="n">
        <f aca="false">IF(AND(C55&lt;&gt;"",E55&lt;&gt;""),E55/C55,"")</f>
        <v>0.11495712924738</v>
      </c>
      <c r="J55" s="64" t="n">
        <f aca="false">IF(AND(E55&lt;&gt;"",F55&lt;&gt;""),F55/E55,"")</f>
        <v>0.12707182320442</v>
      </c>
      <c r="K55" s="65" t="str">
        <f aca="false">IF(I55="","",IF(I55&gt;=0.18,"✓ Cumple","✗ Por debajo"))</f>
        <v>✗ Por debajo</v>
      </c>
      <c r="L55" s="65" t="str">
        <f aca="false">IF(J55="","",IF(J55&gt;=0.075,"✓ Cumple","✗ Por debajo"))</f>
        <v>✓ Cumple</v>
      </c>
    </row>
    <row r="56" customFormat="false" ht="15.75" hidden="false" customHeight="true" outlineLevel="0" collapsed="false">
      <c r="A56" s="60" t="n">
        <v>2025</v>
      </c>
      <c r="B56" s="61" t="s">
        <v>65</v>
      </c>
      <c r="C56" s="63" t="n">
        <v>3158</v>
      </c>
      <c r="D56" s="63" t="n">
        <v>2386</v>
      </c>
      <c r="E56" s="63" t="n">
        <v>175</v>
      </c>
      <c r="F56" s="63" t="n">
        <v>48</v>
      </c>
      <c r="G56" s="63" t="n">
        <v>9</v>
      </c>
      <c r="H56" s="63" t="n">
        <v>3</v>
      </c>
      <c r="I56" s="64" t="n">
        <f aca="false">IF(AND(C56&lt;&gt;"",E56&lt;&gt;""),E56/C56,"")</f>
        <v>0.0554148195060165</v>
      </c>
      <c r="J56" s="64" t="n">
        <f aca="false">IF(AND(E56&lt;&gt;"",F56&lt;&gt;""),F56/E56,"")</f>
        <v>0.274285714285714</v>
      </c>
      <c r="K56" s="65" t="str">
        <f aca="false">IF(I56="","",IF(I56&gt;=0.18,"✓ Cumple","✗ Por debajo"))</f>
        <v>✗ Por debajo</v>
      </c>
      <c r="L56" s="65" t="str">
        <f aca="false">IF(J56="","",IF(J56&gt;=0.075,"✓ Cumple","✗ Por debajo"))</f>
        <v>✓ Cumple</v>
      </c>
    </row>
    <row r="57" customFormat="false" ht="15.75" hidden="false" customHeight="true" outlineLevel="0" collapsed="false">
      <c r="A57" s="66" t="n">
        <v>2025</v>
      </c>
      <c r="B57" s="67" t="s">
        <v>108</v>
      </c>
      <c r="C57" s="63" t="n">
        <v>3163</v>
      </c>
      <c r="D57" s="63" t="n">
        <v>1104</v>
      </c>
      <c r="E57" s="63" t="n">
        <v>207</v>
      </c>
      <c r="F57" s="63" t="n">
        <v>33</v>
      </c>
      <c r="G57" s="63" t="n">
        <v>5</v>
      </c>
      <c r="H57" s="63" t="n">
        <v>2</v>
      </c>
      <c r="I57" s="64" t="n">
        <f aca="false">IF(AND(C57&lt;&gt;"",E57&lt;&gt;""),E57/C57,"")</f>
        <v>0.0654441985456845</v>
      </c>
      <c r="J57" s="64" t="n">
        <f aca="false">IF(AND(E57&lt;&gt;"",F57&lt;&gt;""),F57/E57,"")</f>
        <v>0.159420289855072</v>
      </c>
      <c r="K57" s="65" t="str">
        <f aca="false">IF(I57="","",IF(I57&gt;=0.18,"✓ Cumple","✗ Por debajo"))</f>
        <v>✗ Por debajo</v>
      </c>
      <c r="L57" s="65" t="str">
        <f aca="false">IF(J57="","",IF(J57&gt;=0.075,"✓ Cumple","✗ Por debajo"))</f>
        <v>✓ Cumple</v>
      </c>
    </row>
    <row r="58" customFormat="false" ht="15.75" hidden="false" customHeight="true" outlineLevel="0" collapsed="false">
      <c r="A58" s="60" t="n">
        <v>2025</v>
      </c>
      <c r="B58" s="61" t="s">
        <v>137</v>
      </c>
      <c r="C58" s="63" t="n">
        <v>3154</v>
      </c>
      <c r="D58" s="63" t="n">
        <v>830</v>
      </c>
      <c r="E58" s="63" t="n">
        <v>109</v>
      </c>
      <c r="F58" s="63" t="n">
        <v>2</v>
      </c>
      <c r="G58" s="63" t="n">
        <v>7</v>
      </c>
      <c r="H58" s="63" t="n">
        <v>0</v>
      </c>
      <c r="I58" s="64" t="n">
        <f aca="false">IF(AND(C58&lt;&gt;"",E58&lt;&gt;""),E58/C58,"")</f>
        <v>0.0345592897907419</v>
      </c>
      <c r="J58" s="64" t="n">
        <f aca="false">IF(AND(E58&lt;&gt;"",F58&lt;&gt;""),F58/E58,"")</f>
        <v>0.018348623853211</v>
      </c>
      <c r="K58" s="65" t="str">
        <f aca="false">IF(I58="","",IF(I58&gt;=0.18,"✓ Cumple","✗ Por debajo"))</f>
        <v>✗ Por debajo</v>
      </c>
      <c r="L58" s="65" t="str">
        <f aca="false">IF(J58="","",IF(J58&gt;=0.075,"✓ Cumple","✗ Por debajo"))</f>
        <v>✗ Por debajo</v>
      </c>
    </row>
    <row r="59" customFormat="false" ht="15.75" hidden="false" customHeight="true" outlineLevel="0" collapsed="false">
      <c r="A59" s="66" t="n">
        <v>2025</v>
      </c>
      <c r="B59" s="67" t="s">
        <v>166</v>
      </c>
      <c r="C59" s="63" t="n">
        <v>3164</v>
      </c>
      <c r="D59" s="63" t="n">
        <v>3301</v>
      </c>
      <c r="E59" s="63" t="n">
        <v>979</v>
      </c>
      <c r="F59" s="63" t="n">
        <v>160</v>
      </c>
      <c r="G59" s="63" t="n">
        <v>15</v>
      </c>
      <c r="H59" s="63" t="n">
        <v>1</v>
      </c>
      <c r="I59" s="64" t="n">
        <f aca="false">IF(AND(C59&lt;&gt;"",E59&lt;&gt;""),E59/C59,"")</f>
        <v>0.309418457648546</v>
      </c>
      <c r="J59" s="64" t="n">
        <f aca="false">IF(AND(E59&lt;&gt;"",F59&lt;&gt;""),F59/E59,"")</f>
        <v>0.163432073544433</v>
      </c>
      <c r="K59" s="65" t="str">
        <f aca="false">IF(I59="","",IF(I59&gt;=0.18,"✓ Cumple","✗ Por debajo"))</f>
        <v>✓ Cumple</v>
      </c>
      <c r="L59" s="65" t="str">
        <f aca="false">IF(J59="","",IF(J59&gt;=0.075,"✓ Cumple","✗ Por debajo"))</f>
        <v>✓ Cumple</v>
      </c>
    </row>
    <row r="60" customFormat="false" ht="15.75" hidden="false" customHeight="true" outlineLevel="0" collapsed="false">
      <c r="A60" s="60" t="n">
        <v>2025</v>
      </c>
      <c r="B60" s="61" t="s">
        <v>334</v>
      </c>
      <c r="C60" s="63" t="n">
        <v>3168</v>
      </c>
      <c r="D60" s="63" t="n">
        <v>700</v>
      </c>
      <c r="E60" s="63" t="n">
        <v>119</v>
      </c>
      <c r="F60" s="63" t="n">
        <v>1</v>
      </c>
      <c r="G60" s="63" t="n">
        <v>2</v>
      </c>
      <c r="H60" s="63" t="n">
        <v>0</v>
      </c>
      <c r="I60" s="64" t="n">
        <f aca="false">IF(AND(C60&lt;&gt;"",E60&lt;&gt;""),E60/C60,"")</f>
        <v>0.0375631313131313</v>
      </c>
      <c r="J60" s="64" t="n">
        <f aca="false">IF(AND(E60&lt;&gt;"",F60&lt;&gt;""),F60/E60,"")</f>
        <v>0.00840336134453782</v>
      </c>
      <c r="K60" s="65" t="str">
        <f aca="false">IF(I60="","",IF(I60&gt;=0.18,"✓ Cumple","✗ Por debajo"))</f>
        <v>✗ Por debajo</v>
      </c>
      <c r="L60" s="65" t="str">
        <f aca="false">IF(J60="","",IF(J60&gt;=0.075,"✓ Cumple","✗ Por debajo"))</f>
        <v>✗ Por debajo</v>
      </c>
    </row>
    <row r="61" customFormat="false" ht="15.75" hidden="false" customHeight="true" outlineLevel="0" collapsed="false">
      <c r="A61" s="66" t="n">
        <v>2025</v>
      </c>
      <c r="B61" s="67" t="s">
        <v>218</v>
      </c>
      <c r="C61" s="63" t="n">
        <v>3165</v>
      </c>
      <c r="D61" s="63" t="n">
        <v>690</v>
      </c>
      <c r="E61" s="63" t="n">
        <v>110</v>
      </c>
      <c r="F61" s="63" t="n">
        <v>7</v>
      </c>
      <c r="G61" s="63" t="n">
        <v>3</v>
      </c>
      <c r="H61" s="63" t="n">
        <v>0</v>
      </c>
      <c r="I61" s="64" t="n">
        <f aca="false">IF(AND(C61&lt;&gt;"",E61&lt;&gt;""),E61/C61,"")</f>
        <v>0.0347551342812006</v>
      </c>
      <c r="J61" s="64" t="n">
        <f aca="false">IF(AND(E61&lt;&gt;"",F61&lt;&gt;""),F61/E61,"")</f>
        <v>0.0636363636363636</v>
      </c>
      <c r="K61" s="65" t="str">
        <f aca="false">IF(I61="","",IF(I61&gt;=0.18,"✓ Cumple","✗ Por debajo"))</f>
        <v>✗ Por debajo</v>
      </c>
      <c r="L61" s="65" t="str">
        <f aca="false">IF(J61="","",IF(J61&gt;=0.075,"✓ Cumple","✗ Por debajo"))</f>
        <v>✗ Por debajo</v>
      </c>
    </row>
    <row r="62" customFormat="false" ht="15.75" hidden="false" customHeight="true" outlineLevel="0" collapsed="false">
      <c r="A62" s="60" t="n">
        <v>2025</v>
      </c>
      <c r="B62" s="61" t="s">
        <v>244</v>
      </c>
      <c r="C62" s="63" t="n">
        <v>3163</v>
      </c>
      <c r="D62" s="63" t="n">
        <v>650</v>
      </c>
      <c r="E62" s="63" t="n">
        <v>80</v>
      </c>
      <c r="F62" s="63" t="n">
        <v>0</v>
      </c>
      <c r="G62" s="63" t="n">
        <v>2</v>
      </c>
      <c r="H62" s="63" t="n">
        <v>0</v>
      </c>
      <c r="I62" s="64" t="n">
        <f aca="false">IF(AND(C62&lt;&gt;"",E62&lt;&gt;""),E62/C62,"")</f>
        <v>0.0252924438823901</v>
      </c>
      <c r="J62" s="64" t="n">
        <f aca="false">IF(AND(E62&lt;&gt;"",F62&lt;&gt;""),F62/E62,"")</f>
        <v>0</v>
      </c>
      <c r="K62" s="65" t="str">
        <f aca="false">IF(I62="","",IF(I62&gt;=0.18,"✓ Cumple","✗ Por debajo"))</f>
        <v>✗ Por debajo</v>
      </c>
      <c r="L62" s="65" t="str">
        <f aca="false">IF(J62="","",IF(J62&gt;=0.075,"✓ Cumple","✗ Por debajo"))</f>
        <v>✗ Por debajo</v>
      </c>
    </row>
    <row r="63" customFormat="false" ht="15.75" hidden="false" customHeight="true" outlineLevel="0" collapsed="false">
      <c r="A63" s="66" t="n">
        <v>2025</v>
      </c>
      <c r="B63" s="67" t="s">
        <v>270</v>
      </c>
      <c r="C63" s="63" t="n">
        <v>3160</v>
      </c>
      <c r="D63" s="63" t="n">
        <v>660</v>
      </c>
      <c r="E63" s="63" t="n">
        <v>108</v>
      </c>
      <c r="F63" s="63" t="n">
        <v>1</v>
      </c>
      <c r="G63" s="63" t="n">
        <v>1</v>
      </c>
      <c r="H63" s="63" t="n">
        <v>0</v>
      </c>
      <c r="I63" s="64" t="n">
        <f aca="false">IF(AND(C63&lt;&gt;"",E63&lt;&gt;""),E63/C63,"")</f>
        <v>0.0341772151898734</v>
      </c>
      <c r="J63" s="64" t="n">
        <f aca="false">IF(AND(E63&lt;&gt;"",F63&lt;&gt;""),F63/E63,"")</f>
        <v>0.00925925925925926</v>
      </c>
      <c r="K63" s="65" t="str">
        <f aca="false">IF(I63="","",IF(I63&gt;=0.18,"✓ Cumple","✗ Por debajo"))</f>
        <v>✗ Por debajo</v>
      </c>
      <c r="L63" s="65" t="str">
        <f aca="false">IF(J63="","",IF(J63&gt;=0.075,"✓ Cumple","✗ Por debajo"))</f>
        <v>✗ Por debajo</v>
      </c>
    </row>
    <row r="64" customFormat="false" ht="15.75" hidden="false" customHeight="true" outlineLevel="0" collapsed="false">
      <c r="A64" s="60" t="n">
        <v>2026</v>
      </c>
      <c r="B64" s="61" t="s">
        <v>330</v>
      </c>
      <c r="C64" s="63" t="n">
        <v>3160</v>
      </c>
      <c r="D64" s="63" t="n">
        <v>775</v>
      </c>
      <c r="E64" s="63" t="n">
        <v>97</v>
      </c>
      <c r="F64" s="63" t="n">
        <v>4</v>
      </c>
      <c r="G64" s="63" t="n">
        <v>7</v>
      </c>
      <c r="H64" s="63" t="n">
        <v>0</v>
      </c>
      <c r="I64" s="64" t="n">
        <f aca="false">IF(AND(C64&lt;&gt;"",E64&lt;&gt;""),E64/C64,"")</f>
        <v>0.0306962025316456</v>
      </c>
      <c r="J64" s="64" t="n">
        <f aca="false">IF(AND(E64&lt;&gt;"",F64&lt;&gt;""),F64/E64,"")</f>
        <v>0.0412371134020619</v>
      </c>
      <c r="K64" s="65" t="str">
        <f aca="false">IF(I64="","",IF(I64&gt;=0.18,"✓ Cumple","✗ Por debajo"))</f>
        <v>✗ Por debajo</v>
      </c>
      <c r="L64" s="65" t="str">
        <f aca="false">IF(J64="","",IF(J64&gt;=0.075,"✓ Cumple","✗ Por debajo"))</f>
        <v>✗ Por debajo</v>
      </c>
    </row>
    <row r="65" customFormat="false" ht="15.75" hidden="false" customHeight="true" outlineLevel="0" collapsed="false">
      <c r="A65" s="66" t="n">
        <v>2026</v>
      </c>
      <c r="B65" s="67" t="s">
        <v>331</v>
      </c>
      <c r="C65" s="63" t="n">
        <v>3167</v>
      </c>
      <c r="D65" s="63" t="n">
        <v>717</v>
      </c>
      <c r="E65" s="63" t="n">
        <v>93</v>
      </c>
      <c r="F65" s="63" t="n">
        <v>1</v>
      </c>
      <c r="G65" s="63" t="n">
        <v>3</v>
      </c>
      <c r="H65" s="63" t="n">
        <v>0</v>
      </c>
      <c r="I65" s="64" t="n">
        <f aca="false">IF(AND(C65&lt;&gt;"",E65&lt;&gt;""),E65/C65,"")</f>
        <v>0.0293653299652668</v>
      </c>
      <c r="J65" s="64" t="n">
        <f aca="false">IF(AND(E65&lt;&gt;"",F65&lt;&gt;""),F65/E65,"")</f>
        <v>0.010752688172043</v>
      </c>
      <c r="K65" s="65" t="str">
        <f aca="false">IF(I65="","",IF(I65&gt;=0.18,"✓ Cumple","✗ Por debajo"))</f>
        <v>✗ Por debajo</v>
      </c>
      <c r="L65" s="65" t="str">
        <f aca="false">IF(J65="","",IF(J65&gt;=0.075,"✓ Cumple","✗ Por debajo"))</f>
        <v>✗ Por debajo</v>
      </c>
    </row>
    <row r="66" customFormat="false" ht="15.75" hidden="false" customHeight="true" outlineLevel="0" collapsed="false">
      <c r="A66" s="60" t="n">
        <v>2026</v>
      </c>
      <c r="B66" s="61" t="s">
        <v>332</v>
      </c>
      <c r="C66" s="63" t="n">
        <v>3170</v>
      </c>
      <c r="D66" s="63" t="n">
        <v>746</v>
      </c>
      <c r="E66" s="63" t="n">
        <v>97</v>
      </c>
      <c r="F66" s="63" t="n">
        <v>0</v>
      </c>
      <c r="G66" s="63" t="n">
        <v>5</v>
      </c>
      <c r="H66" s="63" t="n">
        <v>0</v>
      </c>
      <c r="I66" s="64" t="n">
        <f aca="false">IF(AND(C66&lt;&gt;"",E66&lt;&gt;""),E66/C66,"")</f>
        <v>0.0305993690851735</v>
      </c>
      <c r="J66" s="64" t="n">
        <f aca="false">IF(AND(E66&lt;&gt;"",F66&lt;&gt;""),F66/E66,"")</f>
        <v>0</v>
      </c>
      <c r="K66" s="65" t="str">
        <f aca="false">IF(I66="","",IF(I66&gt;=0.18,"✓ Cumple","✗ Por debajo"))</f>
        <v>✗ Por debajo</v>
      </c>
      <c r="L66" s="65" t="str">
        <f aca="false">IF(J66="","",IF(J66&gt;=0.075,"✓ Cumple","✗ Por debajo"))</f>
        <v>✗ Por debajo</v>
      </c>
    </row>
    <row r="67" customFormat="false" ht="15.75" hidden="false" customHeight="true" outlineLevel="0" collapsed="false">
      <c r="A67" s="66" t="n">
        <v>2026</v>
      </c>
      <c r="B67" s="67" t="s">
        <v>333</v>
      </c>
      <c r="C67" s="63" t="n">
        <v>3176</v>
      </c>
      <c r="D67" s="63" t="n">
        <v>3349</v>
      </c>
      <c r="E67" s="63" t="n">
        <v>900</v>
      </c>
      <c r="F67" s="63" t="n">
        <v>61</v>
      </c>
      <c r="G67" s="63" t="n">
        <v>14</v>
      </c>
      <c r="H67" s="63" t="n">
        <v>1</v>
      </c>
      <c r="I67" s="64" t="n">
        <f aca="false">IF(AND(C67&lt;&gt;"",E67&lt;&gt;""),E67/C67,"")</f>
        <v>0.283375314861461</v>
      </c>
      <c r="J67" s="64" t="n">
        <f aca="false">IF(AND(E67&lt;&gt;"",F67&lt;&gt;""),F67/E67,"")</f>
        <v>0.0677777777777778</v>
      </c>
      <c r="K67" s="65" t="str">
        <f aca="false">IF(I67="","",IF(I67&gt;=0.18,"✓ Cumple","✗ Por debajo"))</f>
        <v>✓ Cumple</v>
      </c>
      <c r="L67" s="65" t="str">
        <f aca="false">IF(J67="","",IF(J67&gt;=0.075,"✓ Cumple","✗ Por debajo"))</f>
        <v>✗ Por debajo</v>
      </c>
    </row>
    <row r="68" customFormat="false" ht="15.75" hidden="false" customHeight="true" outlineLevel="0" collapsed="false">
      <c r="A68" s="60" t="n">
        <v>2026</v>
      </c>
      <c r="B68" s="61" t="s">
        <v>65</v>
      </c>
      <c r="C68" s="63" t="n">
        <v>3184</v>
      </c>
      <c r="D68" s="63" t="n">
        <v>5105</v>
      </c>
      <c r="E68" s="63" t="n">
        <v>1567</v>
      </c>
      <c r="F68" s="63" t="n">
        <v>108</v>
      </c>
      <c r="G68" s="63" t="n">
        <v>22</v>
      </c>
      <c r="H68" s="63" t="n">
        <v>2</v>
      </c>
      <c r="I68" s="64" t="n">
        <f aca="false">IF(AND(C68&lt;&gt;"",E68&lt;&gt;""),E68/C68,"")</f>
        <v>0.49214824120603</v>
      </c>
      <c r="J68" s="64" t="n">
        <f aca="false">IF(AND(E68&lt;&gt;"",F68&lt;&gt;""),F68/E68,"")</f>
        <v>0.0689215060625399</v>
      </c>
      <c r="K68" s="68" t="str">
        <f aca="false">IF(I68="","",IF(I68&gt;=0.18,"✓ Cumple","✗ Por debajo"))</f>
        <v>✓ Cumple</v>
      </c>
      <c r="L68" s="68" t="str">
        <f aca="false">IF(J68="","",IF(J68&gt;=0.075,"✓ Cumple","✗ Por debajo"))</f>
        <v>✗ Por debajo</v>
      </c>
    </row>
    <row r="69" customFormat="false" ht="15.75" hidden="false" customHeight="true" outlineLevel="0" collapsed="false">
      <c r="A69" s="66" t="n">
        <v>2026</v>
      </c>
      <c r="B69" s="67" t="s">
        <v>108</v>
      </c>
      <c r="C69" s="63"/>
      <c r="D69" s="63"/>
      <c r="E69" s="63"/>
      <c r="F69" s="63"/>
      <c r="G69" s="63"/>
      <c r="H69" s="63"/>
      <c r="I69" s="64" t="str">
        <f aca="false">IF(AND(C69&lt;&gt;"",E69&lt;&gt;""),E69/C69,"")</f>
        <v/>
      </c>
      <c r="J69" s="64" t="str">
        <f aca="false">IF(AND(E69&lt;&gt;"",F69&lt;&gt;""),F69/E69,"")</f>
        <v/>
      </c>
      <c r="K69" s="68" t="str">
        <f aca="false">IF(I69="","",IF(I69&gt;=0.18,"✓ Cumple","✗ Por debajo"))</f>
        <v/>
      </c>
      <c r="L69" s="68" t="str">
        <f aca="false">IF(J69="","",IF(J69&gt;=0.075,"✓ Cumple","✗ Por debajo"))</f>
        <v/>
      </c>
    </row>
    <row r="70" customFormat="false" ht="15.75" hidden="false" customHeight="true" outlineLevel="0" collapsed="false">
      <c r="A70" s="60" t="n">
        <v>2026</v>
      </c>
      <c r="B70" s="61" t="s">
        <v>137</v>
      </c>
      <c r="C70" s="63"/>
      <c r="D70" s="63"/>
      <c r="E70" s="63"/>
      <c r="F70" s="63"/>
      <c r="G70" s="63"/>
      <c r="H70" s="63"/>
      <c r="I70" s="64" t="str">
        <f aca="false">IF(AND(C70&lt;&gt;"",E70&lt;&gt;""),E70/C70,"")</f>
        <v/>
      </c>
      <c r="J70" s="64" t="str">
        <f aca="false">IF(AND(E70&lt;&gt;"",F70&lt;&gt;""),F70/E70,"")</f>
        <v/>
      </c>
      <c r="K70" s="68" t="str">
        <f aca="false">IF(I70="","",IF(I70&gt;=0.18,"✓ Cumple","✗ Por debajo"))</f>
        <v/>
      </c>
      <c r="L70" s="68" t="str">
        <f aca="false">IF(J70="","",IF(J70&gt;=0.075,"✓ Cumple","✗ Por debajo"))</f>
        <v/>
      </c>
    </row>
    <row r="71" customFormat="false" ht="15.75" hidden="false" customHeight="true" outlineLevel="0" collapsed="false">
      <c r="A71" s="66" t="n">
        <v>2026</v>
      </c>
      <c r="B71" s="67" t="s">
        <v>166</v>
      </c>
      <c r="C71" s="63"/>
      <c r="D71" s="63"/>
      <c r="E71" s="63"/>
      <c r="F71" s="63"/>
      <c r="G71" s="63"/>
      <c r="H71" s="63"/>
      <c r="I71" s="64" t="str">
        <f aca="false">IF(AND(C71&lt;&gt;"",E71&lt;&gt;""),E71/C71,"")</f>
        <v/>
      </c>
      <c r="J71" s="64" t="str">
        <f aca="false">IF(AND(E71&lt;&gt;"",F71&lt;&gt;""),F71/E71,"")</f>
        <v/>
      </c>
      <c r="K71" s="68" t="str">
        <f aca="false">IF(I71="","",IF(I71&gt;=0.18,"✓ Cumple","✗ Por debajo"))</f>
        <v/>
      </c>
      <c r="L71" s="68" t="str">
        <f aca="false">IF(J71="","",IF(J71&gt;=0.075,"✓ Cumple","✗ Por debajo"))</f>
        <v/>
      </c>
    </row>
    <row r="72" customFormat="false" ht="15.75" hidden="false" customHeight="true" outlineLevel="0" collapsed="false">
      <c r="A72" s="60" t="n">
        <v>2026</v>
      </c>
      <c r="B72" s="61" t="s">
        <v>334</v>
      </c>
      <c r="C72" s="63"/>
      <c r="D72" s="63"/>
      <c r="E72" s="63"/>
      <c r="F72" s="63"/>
      <c r="G72" s="63"/>
      <c r="H72" s="63"/>
      <c r="I72" s="64" t="str">
        <f aca="false">IF(AND(C72&lt;&gt;"",E72&lt;&gt;""),E72/C72,"")</f>
        <v/>
      </c>
      <c r="J72" s="64" t="str">
        <f aca="false">IF(AND(E72&lt;&gt;"",F72&lt;&gt;""),F72/E72,"")</f>
        <v/>
      </c>
      <c r="K72" s="68" t="str">
        <f aca="false">IF(I72="","",IF(I72&gt;=0.18,"✓ Cumple","✗ Por debajo"))</f>
        <v/>
      </c>
      <c r="L72" s="68" t="str">
        <f aca="false">IF(J72="","",IF(J72&gt;=0.075,"✓ Cumple","✗ Por debajo"))</f>
        <v/>
      </c>
    </row>
    <row r="73" customFormat="false" ht="15.75" hidden="false" customHeight="true" outlineLevel="0" collapsed="false">
      <c r="A73" s="66" t="n">
        <v>2026</v>
      </c>
      <c r="B73" s="67" t="s">
        <v>218</v>
      </c>
      <c r="C73" s="63"/>
      <c r="D73" s="63"/>
      <c r="E73" s="63"/>
      <c r="F73" s="63"/>
      <c r="G73" s="63"/>
      <c r="H73" s="63"/>
      <c r="I73" s="64" t="str">
        <f aca="false">IF(AND(C73&lt;&gt;"",E73&lt;&gt;""),E73/C73,"")</f>
        <v/>
      </c>
      <c r="J73" s="64" t="str">
        <f aca="false">IF(AND(E73&lt;&gt;"",F73&lt;&gt;""),F73/E73,"")</f>
        <v/>
      </c>
      <c r="K73" s="68" t="str">
        <f aca="false">IF(I73="","",IF(I73&gt;=0.18,"✓ Cumple","✗ Por debajo"))</f>
        <v/>
      </c>
      <c r="L73" s="68" t="str">
        <f aca="false">IF(J73="","",IF(J73&gt;=0.075,"✓ Cumple","✗ Por debajo"))</f>
        <v/>
      </c>
    </row>
    <row r="74" customFormat="false" ht="15.75" hidden="false" customHeight="true" outlineLevel="0" collapsed="false">
      <c r="A74" s="60" t="n">
        <v>2026</v>
      </c>
      <c r="B74" s="61" t="s">
        <v>244</v>
      </c>
      <c r="C74" s="63"/>
      <c r="D74" s="63"/>
      <c r="E74" s="63"/>
      <c r="F74" s="63"/>
      <c r="G74" s="63"/>
      <c r="H74" s="63"/>
      <c r="I74" s="64" t="str">
        <f aca="false">IF(AND(C74&lt;&gt;"",E74&lt;&gt;""),E74/C74,"")</f>
        <v/>
      </c>
      <c r="J74" s="64" t="str">
        <f aca="false">IF(AND(E74&lt;&gt;"",F74&lt;&gt;""),F74/E74,"")</f>
        <v/>
      </c>
      <c r="K74" s="68" t="str">
        <f aca="false">IF(I74="","",IF(I74&gt;=0.18,"✓ Cumple","✗ Por debajo"))</f>
        <v/>
      </c>
      <c r="L74" s="68" t="str">
        <f aca="false">IF(J74="","",IF(J74&gt;=0.075,"✓ Cumple","✗ Por debajo"))</f>
        <v/>
      </c>
    </row>
    <row r="75" customFormat="false" ht="15.75" hidden="false" customHeight="true" outlineLevel="0" collapsed="false">
      <c r="A75" s="66" t="n">
        <v>2026</v>
      </c>
      <c r="B75" s="67" t="s">
        <v>270</v>
      </c>
      <c r="C75" s="63"/>
      <c r="D75" s="63"/>
      <c r="E75" s="63"/>
      <c r="F75" s="63"/>
      <c r="G75" s="63"/>
      <c r="H75" s="63"/>
      <c r="I75" s="64" t="str">
        <f aca="false">IF(AND(C75&lt;&gt;"",E75&lt;&gt;""),E75/C75,"")</f>
        <v/>
      </c>
      <c r="J75" s="64" t="str">
        <f aca="false">IF(AND(E75&lt;&gt;"",F75&lt;&gt;""),F75/E75,"")</f>
        <v/>
      </c>
      <c r="K75" s="68" t="str">
        <f aca="false">IF(I75="","",IF(I75&gt;=0.18,"✓ Cumple","✗ Por debajo"))</f>
        <v/>
      </c>
      <c r="L75" s="68" t="str">
        <f aca="false">IF(J75="","",IF(J75&gt;=0.075,"✓ Cumple","✗ Por debajo"))</f>
        <v/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3" activePane="bottomRight" state="frozen"/>
      <selection pane="topLeft" activeCell="A1" activeCellId="0" sqref="A1"/>
      <selection pane="topRight" activeCell="C1" activeCellId="0" sqref="C1"/>
      <selection pane="bottomLeft" activeCell="A43" activeCellId="0" sqref="A43"/>
      <selection pane="bottomRight" activeCell="C56" activeCellId="0" sqref="C56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3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12" min="9" style="0" width="12"/>
  </cols>
  <sheetData>
    <row r="1" customFormat="false" ht="27.75" hidden="false" customHeight="true" outlineLevel="0" collapsed="false">
      <c r="A1" s="69" t="s">
        <v>335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customFormat="false" ht="15" hidden="false" customHeight="true" outlineLevel="0" collapsed="false">
      <c r="A2" s="70" t="s">
        <v>336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customFormat="false" ht="36" hidden="false" customHeight="true" outlineLevel="0" collapsed="false">
      <c r="A3" s="71" t="s">
        <v>319</v>
      </c>
      <c r="B3" s="71" t="s">
        <v>53</v>
      </c>
      <c r="C3" s="71" t="s">
        <v>320</v>
      </c>
      <c r="D3" s="71" t="s">
        <v>321</v>
      </c>
      <c r="E3" s="71" t="s">
        <v>322</v>
      </c>
      <c r="F3" s="71" t="s">
        <v>323</v>
      </c>
      <c r="G3" s="71" t="s">
        <v>324</v>
      </c>
      <c r="H3" s="71" t="s">
        <v>325</v>
      </c>
      <c r="I3" s="71" t="s">
        <v>326</v>
      </c>
      <c r="J3" s="71" t="s">
        <v>337</v>
      </c>
      <c r="K3" s="71" t="s">
        <v>328</v>
      </c>
      <c r="L3" s="71" t="s">
        <v>329</v>
      </c>
    </row>
    <row r="4" customFormat="false" ht="15.75" hidden="false" customHeight="true" outlineLevel="0" collapsed="false">
      <c r="A4" s="72" t="n">
        <v>2022</v>
      </c>
      <c r="B4" s="73" t="s">
        <v>330</v>
      </c>
      <c r="C4" s="63" t="n">
        <v>3115</v>
      </c>
      <c r="D4" s="63" t="n">
        <v>6054</v>
      </c>
      <c r="E4" s="63" t="n">
        <v>695</v>
      </c>
      <c r="F4" s="63" t="n">
        <v>339</v>
      </c>
      <c r="G4" s="63" t="n">
        <v>27</v>
      </c>
      <c r="H4" s="63" t="n">
        <v>5</v>
      </c>
      <c r="I4" s="64" t="n">
        <f aca="false">IF(AND(C4&lt;&gt;"",E4&lt;&gt;""),E4/C4,"")</f>
        <v>0.223113964686998</v>
      </c>
      <c r="J4" s="64" t="n">
        <f aca="false">IF(AND(D4&lt;&gt;"",F4&lt;&gt;""),F4/D4,"")</f>
        <v>0.05599603567889</v>
      </c>
      <c r="K4" s="68" t="str">
        <f aca="false">IF(I4="","",IF(I4&gt;=0.18,"✓ Cumple","✗ Por debajo"))</f>
        <v>✓ Cumple</v>
      </c>
      <c r="L4" s="68" t="str">
        <f aca="false">IF(J4="","",IF(J4&gt;=0.075,"✓ Cumple","✗ Por debajo"))</f>
        <v>✗ Por debajo</v>
      </c>
    </row>
    <row r="5" customFormat="false" ht="15.75" hidden="false" customHeight="true" outlineLevel="0" collapsed="false">
      <c r="A5" s="66" t="n">
        <v>2022</v>
      </c>
      <c r="B5" s="67" t="s">
        <v>331</v>
      </c>
      <c r="C5" s="63" t="n">
        <v>3152</v>
      </c>
      <c r="D5" s="63" t="n">
        <v>6240</v>
      </c>
      <c r="E5" s="63" t="n">
        <v>1923</v>
      </c>
      <c r="F5" s="63" t="n">
        <v>601</v>
      </c>
      <c r="G5" s="63" t="n">
        <v>35</v>
      </c>
      <c r="H5" s="63" t="n">
        <v>3</v>
      </c>
      <c r="I5" s="64" t="n">
        <f aca="false">IF(AND(C5&lt;&gt;"",E5&lt;&gt;""),E5/C5,"")</f>
        <v>0.61008883248731</v>
      </c>
      <c r="J5" s="64" t="n">
        <f aca="false">IF(AND(D5&lt;&gt;"",F5&lt;&gt;""),F5/D5,"")</f>
        <v>0.0963141025641026</v>
      </c>
      <c r="K5" s="68" t="str">
        <f aca="false">IF(I5="","",IF(I5&gt;=0.18,"✓ Cumple","✗ Por debajo"))</f>
        <v>✓ Cumple</v>
      </c>
      <c r="L5" s="68" t="str">
        <f aca="false">IF(J5="","",IF(J5&gt;=0.075,"✓ Cumple","✗ Por debajo"))</f>
        <v>✓ Cumple</v>
      </c>
    </row>
    <row r="6" customFormat="false" ht="15.75" hidden="false" customHeight="true" outlineLevel="0" collapsed="false">
      <c r="A6" s="72" t="n">
        <v>2022</v>
      </c>
      <c r="B6" s="73" t="s">
        <v>332</v>
      </c>
      <c r="C6" s="63" t="n">
        <v>3194</v>
      </c>
      <c r="D6" s="63" t="n">
        <v>5635</v>
      </c>
      <c r="E6" s="63" t="n">
        <v>3330</v>
      </c>
      <c r="F6" s="63" t="n">
        <v>488</v>
      </c>
      <c r="G6" s="63" t="n">
        <v>42</v>
      </c>
      <c r="H6" s="63" t="n">
        <v>2</v>
      </c>
      <c r="I6" s="64" t="n">
        <f aca="false">IF(AND(C6&lt;&gt;"",E6&lt;&gt;""),E6/C6,"")</f>
        <v>1.04257983719474</v>
      </c>
      <c r="J6" s="64" t="n">
        <f aca="false">IF(AND(D6&lt;&gt;"",F6&lt;&gt;""),F6/D6,"")</f>
        <v>0.0866015971606034</v>
      </c>
      <c r="K6" s="68" t="str">
        <f aca="false">IF(I6="","",IF(I6&gt;=0.18,"✓ Cumple","✗ Por debajo"))</f>
        <v>✓ Cumple</v>
      </c>
      <c r="L6" s="68" t="str">
        <f aca="false">IF(J6="","",IF(J6&gt;=0.075,"✓ Cumple","✗ Por debajo"))</f>
        <v>✓ Cumple</v>
      </c>
    </row>
    <row r="7" customFormat="false" ht="15.75" hidden="false" customHeight="true" outlineLevel="0" collapsed="false">
      <c r="A7" s="66" t="n">
        <v>2022</v>
      </c>
      <c r="B7" s="67" t="s">
        <v>333</v>
      </c>
      <c r="C7" s="63" t="n">
        <v>3232</v>
      </c>
      <c r="D7" s="63" t="n">
        <v>2814</v>
      </c>
      <c r="E7" s="63" t="n">
        <v>559</v>
      </c>
      <c r="F7" s="63" t="n">
        <v>349</v>
      </c>
      <c r="G7" s="63" t="n">
        <v>29</v>
      </c>
      <c r="H7" s="63" t="n">
        <v>3</v>
      </c>
      <c r="I7" s="64" t="n">
        <f aca="false">IF(AND(C7&lt;&gt;"",E7&lt;&gt;""),E7/C7,"")</f>
        <v>0.172957920792079</v>
      </c>
      <c r="J7" s="64" t="n">
        <f aca="false">IF(AND(D7&lt;&gt;"",F7&lt;&gt;""),F7/D7,"")</f>
        <v>0.124022743425729</v>
      </c>
      <c r="K7" s="68" t="str">
        <f aca="false">IF(I7="","",IF(I7&gt;=0.18,"✓ Cumple","✗ Por debajo"))</f>
        <v>✗ Por debajo</v>
      </c>
      <c r="L7" s="68" t="str">
        <f aca="false">IF(J7="","",IF(J7&gt;=0.075,"✓ Cumple","✗ Por debajo"))</f>
        <v>✓ Cumple</v>
      </c>
    </row>
    <row r="8" customFormat="false" ht="15.75" hidden="false" customHeight="true" outlineLevel="0" collapsed="false">
      <c r="A8" s="72" t="n">
        <v>2022</v>
      </c>
      <c r="B8" s="73" t="s">
        <v>65</v>
      </c>
      <c r="C8" s="63" t="n">
        <v>3273</v>
      </c>
      <c r="D8" s="63" t="n">
        <v>4634</v>
      </c>
      <c r="E8" s="63" t="n">
        <v>718</v>
      </c>
      <c r="F8" s="63" t="n">
        <v>341</v>
      </c>
      <c r="G8" s="63" t="n">
        <v>41</v>
      </c>
      <c r="H8" s="63" t="n">
        <v>4</v>
      </c>
      <c r="I8" s="64" t="n">
        <f aca="false">IF(AND(C8&lt;&gt;"",E8&lt;&gt;""),E8/C8,"")</f>
        <v>0.219370608004888</v>
      </c>
      <c r="J8" s="64" t="n">
        <f aca="false">IF(AND(D8&lt;&gt;"",F8&lt;&gt;""),F8/D8,"")</f>
        <v>0.0735865343116098</v>
      </c>
      <c r="K8" s="68" t="str">
        <f aca="false">IF(I8="","",IF(I8&gt;=0.18,"✓ Cumple","✗ Por debajo"))</f>
        <v>✓ Cumple</v>
      </c>
      <c r="L8" s="68" t="str">
        <f aca="false">IF(J8="","",IF(J8&gt;=0.075,"✓ Cumple","✗ Por debajo"))</f>
        <v>✗ Por debajo</v>
      </c>
    </row>
    <row r="9" customFormat="false" ht="15.75" hidden="false" customHeight="true" outlineLevel="0" collapsed="false">
      <c r="A9" s="66" t="n">
        <v>2022</v>
      </c>
      <c r="B9" s="67" t="s">
        <v>108</v>
      </c>
      <c r="C9" s="63" t="n">
        <v>3304</v>
      </c>
      <c r="D9" s="63" t="n">
        <v>3752</v>
      </c>
      <c r="E9" s="63" t="n">
        <v>429</v>
      </c>
      <c r="F9" s="63" t="n">
        <v>152</v>
      </c>
      <c r="G9" s="63" t="n">
        <v>32</v>
      </c>
      <c r="H9" s="63" t="n">
        <v>5</v>
      </c>
      <c r="I9" s="64" t="n">
        <f aca="false">IF(AND(C9&lt;&gt;"",E9&lt;&gt;""),E9/C9,"")</f>
        <v>0.129842615012107</v>
      </c>
      <c r="J9" s="64" t="n">
        <f aca="false">IF(AND(D9&lt;&gt;"",F9&lt;&gt;""),F9/D9,"")</f>
        <v>0.0405117270788913</v>
      </c>
      <c r="K9" s="68" t="str">
        <f aca="false">IF(I9="","",IF(I9&gt;=0.18,"✓ Cumple","✗ Por debajo"))</f>
        <v>✗ Por debajo</v>
      </c>
      <c r="L9" s="68" t="str">
        <f aca="false">IF(J9="","",IF(J9&gt;=0.075,"✓ Cumple","✗ Por debajo"))</f>
        <v>✗ Por debajo</v>
      </c>
    </row>
    <row r="10" customFormat="false" ht="15.75" hidden="false" customHeight="true" outlineLevel="0" collapsed="false">
      <c r="A10" s="72" t="n">
        <v>2022</v>
      </c>
      <c r="B10" s="73" t="s">
        <v>137</v>
      </c>
      <c r="C10" s="63" t="n">
        <v>3314</v>
      </c>
      <c r="D10" s="63" t="n">
        <v>4884</v>
      </c>
      <c r="E10" s="63" t="n">
        <v>975</v>
      </c>
      <c r="F10" s="63" t="n">
        <v>198</v>
      </c>
      <c r="G10" s="63" t="n">
        <v>26</v>
      </c>
      <c r="H10" s="63" t="n">
        <v>3</v>
      </c>
      <c r="I10" s="64" t="n">
        <f aca="false">IF(AND(C10&lt;&gt;"",E10&lt;&gt;""),E10/C10,"")</f>
        <v>0.294206397103199</v>
      </c>
      <c r="J10" s="64" t="n">
        <f aca="false">IF(AND(D10&lt;&gt;"",F10&lt;&gt;""),F10/D10,"")</f>
        <v>0.0405405405405405</v>
      </c>
      <c r="K10" s="68" t="str">
        <f aca="false">IF(I10="","",IF(I10&gt;=0.18,"✓ Cumple","✗ Por debajo"))</f>
        <v>✓ Cumple</v>
      </c>
      <c r="L10" s="68" t="str">
        <f aca="false">IF(J10="","",IF(J10&gt;=0.075,"✓ Cumple","✗ Por debajo"))</f>
        <v>✗ Por debajo</v>
      </c>
    </row>
    <row r="11" customFormat="false" ht="15.75" hidden="false" customHeight="true" outlineLevel="0" collapsed="false">
      <c r="A11" s="66" t="n">
        <v>2022</v>
      </c>
      <c r="B11" s="67" t="s">
        <v>166</v>
      </c>
      <c r="C11" s="63" t="n">
        <v>3348</v>
      </c>
      <c r="D11" s="63" t="n">
        <v>5385</v>
      </c>
      <c r="E11" s="63" t="n">
        <v>665</v>
      </c>
      <c r="F11" s="63" t="n">
        <v>367</v>
      </c>
      <c r="G11" s="63" t="n">
        <v>34</v>
      </c>
      <c r="H11" s="63" t="n">
        <v>5</v>
      </c>
      <c r="I11" s="64" t="n">
        <f aca="false">IF(AND(C11&lt;&gt;"",E11&lt;&gt;""),E11/C11,"")</f>
        <v>0.198626045400239</v>
      </c>
      <c r="J11" s="64" t="n">
        <f aca="false">IF(AND(D11&lt;&gt;"",F11&lt;&gt;""),F11/D11,"")</f>
        <v>0.0681522748375116</v>
      </c>
      <c r="K11" s="68" t="str">
        <f aca="false">IF(I11="","",IF(I11&gt;=0.18,"✓ Cumple","✗ Por debajo"))</f>
        <v>✓ Cumple</v>
      </c>
      <c r="L11" s="68" t="str">
        <f aca="false">IF(J11="","",IF(J11&gt;=0.075,"✓ Cumple","✗ Por debajo"))</f>
        <v>✗ Por debajo</v>
      </c>
    </row>
    <row r="12" customFormat="false" ht="15.75" hidden="false" customHeight="true" outlineLevel="0" collapsed="false">
      <c r="A12" s="72" t="n">
        <v>2022</v>
      </c>
      <c r="B12" s="73" t="s">
        <v>334</v>
      </c>
      <c r="C12" s="63" t="n">
        <v>3470</v>
      </c>
      <c r="D12" s="63" t="n">
        <v>5491</v>
      </c>
      <c r="E12" s="63" t="n">
        <v>743</v>
      </c>
      <c r="F12" s="63" t="n">
        <v>347</v>
      </c>
      <c r="G12" s="63" t="n">
        <v>135</v>
      </c>
      <c r="H12" s="63" t="n">
        <v>4</v>
      </c>
      <c r="I12" s="64" t="n">
        <f aca="false">IF(AND(C12&lt;&gt;"",E12&lt;&gt;""),E12/C12,"")</f>
        <v>0.214121037463977</v>
      </c>
      <c r="J12" s="64" t="n">
        <f aca="false">IF(AND(D12&lt;&gt;"",F12&lt;&gt;""),F12/D12,"")</f>
        <v>0.063194317974868</v>
      </c>
      <c r="K12" s="68" t="str">
        <f aca="false">IF(I12="","",IF(I12&gt;=0.18,"✓ Cumple","✗ Por debajo"))</f>
        <v>✓ Cumple</v>
      </c>
      <c r="L12" s="68" t="str">
        <f aca="false">IF(J12="","",IF(J12&gt;=0.075,"✓ Cumple","✗ Por debajo"))</f>
        <v>✗ Por debajo</v>
      </c>
    </row>
    <row r="13" customFormat="false" ht="15.75" hidden="false" customHeight="true" outlineLevel="0" collapsed="false">
      <c r="A13" s="66" t="n">
        <v>2022</v>
      </c>
      <c r="B13" s="67" t="s">
        <v>218</v>
      </c>
      <c r="C13" s="63" t="n">
        <v>3470</v>
      </c>
      <c r="D13" s="63" t="n">
        <v>6408</v>
      </c>
      <c r="E13" s="63" t="n">
        <v>1602</v>
      </c>
      <c r="F13" s="63" t="n">
        <v>256</v>
      </c>
      <c r="G13" s="63" t="n">
        <v>31</v>
      </c>
      <c r="H13" s="63" t="n">
        <v>4</v>
      </c>
      <c r="I13" s="64" t="n">
        <f aca="false">IF(AND(C13&lt;&gt;"",E13&lt;&gt;""),E13/C13,"")</f>
        <v>0.461671469740634</v>
      </c>
      <c r="J13" s="64" t="n">
        <f aca="false">IF(AND(D13&lt;&gt;"",F13&lt;&gt;""),F13/D13,"")</f>
        <v>0.0399500624219725</v>
      </c>
      <c r="K13" s="68" t="str">
        <f aca="false">IF(I13="","",IF(I13&gt;=0.18,"✓ Cumple","✗ Por debajo"))</f>
        <v>✓ Cumple</v>
      </c>
      <c r="L13" s="68" t="str">
        <f aca="false">IF(J13="","",IF(J13&gt;=0.075,"✓ Cumple","✗ Por debajo"))</f>
        <v>✗ Por debajo</v>
      </c>
    </row>
    <row r="14" customFormat="false" ht="15.75" hidden="false" customHeight="true" outlineLevel="0" collapsed="false">
      <c r="A14" s="72" t="n">
        <v>2022</v>
      </c>
      <c r="B14" s="73" t="s">
        <v>244</v>
      </c>
      <c r="C14" s="63" t="n">
        <v>3690</v>
      </c>
      <c r="D14" s="63" t="n">
        <v>6406</v>
      </c>
      <c r="E14" s="63" t="n">
        <v>1188</v>
      </c>
      <c r="F14" s="63" t="n">
        <v>730</v>
      </c>
      <c r="G14" s="63" t="n">
        <v>112</v>
      </c>
      <c r="H14" s="63" t="n">
        <v>3</v>
      </c>
      <c r="I14" s="64" t="n">
        <f aca="false">IF(AND(C14&lt;&gt;"",E14&lt;&gt;""),E14/C14,"")</f>
        <v>0.321951219512195</v>
      </c>
      <c r="J14" s="64" t="n">
        <f aca="false">IF(AND(D14&lt;&gt;"",F14&lt;&gt;""),F14/D14,"")</f>
        <v>0.113955666562598</v>
      </c>
      <c r="K14" s="68" t="str">
        <f aca="false">IF(I14="","",IF(I14&gt;=0.18,"✓ Cumple","✗ Por debajo"))</f>
        <v>✓ Cumple</v>
      </c>
      <c r="L14" s="68" t="str">
        <f aca="false">IF(J14="","",IF(J14&gt;=0.075,"✓ Cumple","✗ Por debajo"))</f>
        <v>✓ Cumple</v>
      </c>
    </row>
    <row r="15" customFormat="false" ht="15.75" hidden="false" customHeight="true" outlineLevel="0" collapsed="false">
      <c r="A15" s="66" t="n">
        <v>2022</v>
      </c>
      <c r="B15" s="67" t="s">
        <v>270</v>
      </c>
      <c r="C15" s="63" t="n">
        <v>3690</v>
      </c>
      <c r="D15" s="63" t="n">
        <v>6406</v>
      </c>
      <c r="E15" s="63" t="n">
        <v>1188</v>
      </c>
      <c r="F15" s="63" t="n">
        <v>730</v>
      </c>
      <c r="G15" s="63" t="n">
        <v>112</v>
      </c>
      <c r="H15" s="63" t="n">
        <v>2</v>
      </c>
      <c r="I15" s="64" t="n">
        <f aca="false">IF(AND(C15&lt;&gt;"",E15&lt;&gt;""),E15/C15,"")</f>
        <v>0.321951219512195</v>
      </c>
      <c r="J15" s="64" t="n">
        <f aca="false">IF(AND(D15&lt;&gt;"",F15&lt;&gt;""),F15/D15,"")</f>
        <v>0.113955666562598</v>
      </c>
      <c r="K15" s="68" t="str">
        <f aca="false">IF(I15="","",IF(I15&gt;=0.18,"✓ Cumple","✗ Por debajo"))</f>
        <v>✓ Cumple</v>
      </c>
      <c r="L15" s="68" t="str">
        <f aca="false">IF(J15="","",IF(J15&gt;=0.075,"✓ Cumple","✗ Por debajo"))</f>
        <v>✓ Cumple</v>
      </c>
    </row>
    <row r="16" customFormat="false" ht="15.75" hidden="false" customHeight="true" outlineLevel="0" collapsed="false">
      <c r="A16" s="72" t="n">
        <v>2023</v>
      </c>
      <c r="B16" s="73" t="s">
        <v>330</v>
      </c>
      <c r="C16" s="63" t="n">
        <v>3808</v>
      </c>
      <c r="D16" s="63" t="n">
        <v>4232</v>
      </c>
      <c r="E16" s="63" t="n">
        <v>904</v>
      </c>
      <c r="F16" s="63" t="n">
        <v>728</v>
      </c>
      <c r="G16" s="63" t="n">
        <v>59</v>
      </c>
      <c r="H16" s="63" t="n">
        <v>2</v>
      </c>
      <c r="I16" s="64" t="n">
        <f aca="false">IF(AND(C16&lt;&gt;"",E16&lt;&gt;""),E16/C16,"")</f>
        <v>0.237394957983193</v>
      </c>
      <c r="J16" s="64" t="n">
        <f aca="false">IF(AND(D16&lt;&gt;"",F16&lt;&gt;""),F16/D16,"")</f>
        <v>0.172022684310019</v>
      </c>
      <c r="K16" s="68" t="str">
        <f aca="false">IF(I16="","",IF(I16&gt;=0.18,"✓ Cumple","✗ Por debajo"))</f>
        <v>✓ Cumple</v>
      </c>
      <c r="L16" s="68" t="str">
        <f aca="false">IF(J16="","",IF(J16&gt;=0.075,"✓ Cumple","✗ Por debajo"))</f>
        <v>✓ Cumple</v>
      </c>
    </row>
    <row r="17" customFormat="false" ht="15.75" hidden="false" customHeight="true" outlineLevel="0" collapsed="false">
      <c r="A17" s="66" t="n">
        <v>2023</v>
      </c>
      <c r="B17" s="67" t="s">
        <v>331</v>
      </c>
      <c r="C17" s="63" t="n">
        <v>3821</v>
      </c>
      <c r="D17" s="63" t="n">
        <v>7038</v>
      </c>
      <c r="E17" s="63" t="n">
        <v>981</v>
      </c>
      <c r="F17" s="63" t="n">
        <v>549</v>
      </c>
      <c r="G17" s="63" t="n">
        <v>69</v>
      </c>
      <c r="H17" s="63" t="n">
        <v>4</v>
      </c>
      <c r="I17" s="64" t="n">
        <f aca="false">IF(AND(C17&lt;&gt;"",E17&lt;&gt;""),E17/C17,"")</f>
        <v>0.256739073540958</v>
      </c>
      <c r="J17" s="64" t="n">
        <f aca="false">IF(AND(D17&lt;&gt;"",F17&lt;&gt;""),F17/D17,"")</f>
        <v>0.0780051150895141</v>
      </c>
      <c r="K17" s="68" t="str">
        <f aca="false">IF(I17="","",IF(I17&gt;=0.18,"✓ Cumple","✗ Por debajo"))</f>
        <v>✓ Cumple</v>
      </c>
      <c r="L17" s="68" t="str">
        <f aca="false">IF(J17="","",IF(J17&gt;=0.075,"✓ Cumple","✗ Por debajo"))</f>
        <v>✓ Cumple</v>
      </c>
    </row>
    <row r="18" customFormat="false" ht="15.75" hidden="false" customHeight="true" outlineLevel="0" collapsed="false">
      <c r="A18" s="72" t="n">
        <v>2023</v>
      </c>
      <c r="B18" s="73" t="s">
        <v>332</v>
      </c>
      <c r="C18" s="63" t="n">
        <v>3854</v>
      </c>
      <c r="D18" s="63" t="n">
        <v>3947</v>
      </c>
      <c r="E18" s="63" t="n">
        <v>716</v>
      </c>
      <c r="F18" s="63" t="n">
        <v>221</v>
      </c>
      <c r="G18" s="63" t="n">
        <v>33</v>
      </c>
      <c r="H18" s="63" t="n">
        <v>3</v>
      </c>
      <c r="I18" s="64" t="n">
        <f aca="false">IF(AND(C18&lt;&gt;"",E18&lt;&gt;""),E18/C18,"")</f>
        <v>0.185781006746238</v>
      </c>
      <c r="J18" s="64" t="n">
        <f aca="false">IF(AND(D18&lt;&gt;"",F18&lt;&gt;""),F18/D18,"")</f>
        <v>0.0559918925766405</v>
      </c>
      <c r="K18" s="68" t="str">
        <f aca="false">IF(I18="","",IF(I18&gt;=0.18,"✓ Cumple","✗ Por debajo"))</f>
        <v>✓ Cumple</v>
      </c>
      <c r="L18" s="68" t="str">
        <f aca="false">IF(J18="","",IF(J18&gt;=0.075,"✓ Cumple","✗ Por debajo"))</f>
        <v>✗ Por debajo</v>
      </c>
    </row>
    <row r="19" customFormat="false" ht="15.75" hidden="false" customHeight="true" outlineLevel="0" collapsed="false">
      <c r="A19" s="66" t="n">
        <v>2023</v>
      </c>
      <c r="B19" s="67" t="s">
        <v>333</v>
      </c>
      <c r="C19" s="63" t="n">
        <v>3854</v>
      </c>
      <c r="D19" s="63" t="n">
        <v>3923</v>
      </c>
      <c r="E19" s="63" t="n">
        <v>556</v>
      </c>
      <c r="F19" s="63" t="n">
        <v>421</v>
      </c>
      <c r="G19" s="63" t="n">
        <v>38</v>
      </c>
      <c r="H19" s="63" t="n">
        <v>3</v>
      </c>
      <c r="I19" s="64" t="n">
        <f aca="false">IF(AND(C19&lt;&gt;"",E19&lt;&gt;""),E19/C19,"")</f>
        <v>0.144265697976129</v>
      </c>
      <c r="J19" s="64" t="n">
        <f aca="false">IF(AND(D19&lt;&gt;"",F19&lt;&gt;""),F19/D19,"")</f>
        <v>0.107315829722151</v>
      </c>
      <c r="K19" s="68" t="str">
        <f aca="false">IF(I19="","",IF(I19&gt;=0.18,"✓ Cumple","✗ Por debajo"))</f>
        <v>✗ Por debajo</v>
      </c>
      <c r="L19" s="68" t="str">
        <f aca="false">IF(J19="","",IF(J19&gt;=0.075,"✓ Cumple","✗ Por debajo"))</f>
        <v>✓ Cumple</v>
      </c>
    </row>
    <row r="20" customFormat="false" ht="15.75" hidden="false" customHeight="true" outlineLevel="0" collapsed="false">
      <c r="A20" s="72" t="n">
        <v>2023</v>
      </c>
      <c r="B20" s="73" t="s">
        <v>65</v>
      </c>
      <c r="C20" s="63" t="n">
        <v>3947</v>
      </c>
      <c r="D20" s="63" t="n">
        <v>6314</v>
      </c>
      <c r="E20" s="63" t="n">
        <v>816</v>
      </c>
      <c r="F20" s="63" t="n">
        <v>1412</v>
      </c>
      <c r="G20" s="63" t="n">
        <v>51</v>
      </c>
      <c r="H20" s="63" t="n">
        <v>4</v>
      </c>
      <c r="I20" s="64" t="n">
        <f aca="false">IF(AND(C20&lt;&gt;"",E20&lt;&gt;""),E20/C20,"")</f>
        <v>0.206739295667596</v>
      </c>
      <c r="J20" s="64" t="n">
        <f aca="false">IF(AND(D20&lt;&gt;"",F20&lt;&gt;""),F20/D20,"")</f>
        <v>0.223630028508077</v>
      </c>
      <c r="K20" s="68" t="str">
        <f aca="false">IF(I20="","",IF(I20&gt;=0.18,"✓ Cumple","✗ Por debajo"))</f>
        <v>✓ Cumple</v>
      </c>
      <c r="L20" s="68" t="str">
        <f aca="false">IF(J20="","",IF(J20&gt;=0.075,"✓ Cumple","✗ Por debajo"))</f>
        <v>✓ Cumple</v>
      </c>
    </row>
    <row r="21" customFormat="false" ht="15.75" hidden="false" customHeight="true" outlineLevel="0" collapsed="false">
      <c r="A21" s="66" t="n">
        <v>2023</v>
      </c>
      <c r="B21" s="67" t="s">
        <v>108</v>
      </c>
      <c r="C21" s="63" t="n">
        <v>3990</v>
      </c>
      <c r="D21" s="63" t="n">
        <v>6444</v>
      </c>
      <c r="E21" s="63" t="n">
        <v>760</v>
      </c>
      <c r="F21" s="63" t="n">
        <v>1231</v>
      </c>
      <c r="G21" s="63" t="n">
        <v>47</v>
      </c>
      <c r="H21" s="63" t="n">
        <v>4</v>
      </c>
      <c r="I21" s="64" t="n">
        <f aca="false">IF(AND(C21&lt;&gt;"",E21&lt;&gt;""),E21/C21,"")</f>
        <v>0.19047619047619</v>
      </c>
      <c r="J21" s="64" t="n">
        <f aca="false">IF(AND(D21&lt;&gt;"",F21&lt;&gt;""),F21/D21,"")</f>
        <v>0.191030415890751</v>
      </c>
      <c r="K21" s="68" t="str">
        <f aca="false">IF(I21="","",IF(I21&gt;=0.18,"✓ Cumple","✗ Por debajo"))</f>
        <v>✓ Cumple</v>
      </c>
      <c r="L21" s="68" t="str">
        <f aca="false">IF(J21="","",IF(J21&gt;=0.075,"✓ Cumple","✗ Por debajo"))</f>
        <v>✓ Cumple</v>
      </c>
    </row>
    <row r="22" customFormat="false" ht="15.75" hidden="false" customHeight="true" outlineLevel="0" collapsed="false">
      <c r="A22" s="72" t="n">
        <v>2023</v>
      </c>
      <c r="B22" s="73" t="s">
        <v>137</v>
      </c>
      <c r="C22" s="63" t="n">
        <v>3990</v>
      </c>
      <c r="D22" s="63" t="n">
        <v>6082</v>
      </c>
      <c r="E22" s="63" t="n">
        <v>746</v>
      </c>
      <c r="F22" s="63" t="n">
        <v>1163</v>
      </c>
      <c r="G22" s="63" t="n">
        <v>34</v>
      </c>
      <c r="H22" s="63" t="n">
        <v>4</v>
      </c>
      <c r="I22" s="64" t="n">
        <f aca="false">IF(AND(C22&lt;&gt;"",E22&lt;&gt;""),E22/C22,"")</f>
        <v>0.186967418546366</v>
      </c>
      <c r="J22" s="64" t="n">
        <f aca="false">IF(AND(D22&lt;&gt;"",F22&lt;&gt;""),F22/D22,"")</f>
        <v>0.191219993423216</v>
      </c>
      <c r="K22" s="68" t="str">
        <f aca="false">IF(I22="","",IF(I22&gt;=0.18,"✓ Cumple","✗ Por debajo"))</f>
        <v>✓ Cumple</v>
      </c>
      <c r="L22" s="68" t="str">
        <f aca="false">IF(J22="","",IF(J22&gt;=0.075,"✓ Cumple","✗ Por debajo"))</f>
        <v>✓ Cumple</v>
      </c>
    </row>
    <row r="23" customFormat="false" ht="15.75" hidden="false" customHeight="true" outlineLevel="0" collapsed="false">
      <c r="A23" s="66" t="n">
        <v>2023</v>
      </c>
      <c r="B23" s="67" t="s">
        <v>166</v>
      </c>
      <c r="C23" s="63" t="n">
        <v>4066</v>
      </c>
      <c r="D23" s="63" t="n">
        <v>5599</v>
      </c>
      <c r="E23" s="63" t="n">
        <v>959</v>
      </c>
      <c r="F23" s="63" t="n">
        <v>856</v>
      </c>
      <c r="G23" s="63" t="n">
        <v>54</v>
      </c>
      <c r="H23" s="63" t="n">
        <v>3</v>
      </c>
      <c r="I23" s="64" t="n">
        <f aca="false">IF(AND(C23&lt;&gt;"",E23&lt;&gt;""),E23/C23,"")</f>
        <v>0.235858337432366</v>
      </c>
      <c r="J23" s="64" t="n">
        <f aca="false">IF(AND(D23&lt;&gt;"",F23&lt;&gt;""),F23/D23,"")</f>
        <v>0.152884443650652</v>
      </c>
      <c r="K23" s="68" t="str">
        <f aca="false">IF(I23="","",IF(I23&gt;=0.18,"✓ Cumple","✗ Por debajo"))</f>
        <v>✓ Cumple</v>
      </c>
      <c r="L23" s="68" t="str">
        <f aca="false">IF(J23="","",IF(J23&gt;=0.075,"✓ Cumple","✗ Por debajo"))</f>
        <v>✓ Cumple</v>
      </c>
    </row>
    <row r="24" customFormat="false" ht="15.75" hidden="false" customHeight="true" outlineLevel="0" collapsed="false">
      <c r="A24" s="72" t="n">
        <v>2023</v>
      </c>
      <c r="B24" s="73" t="s">
        <v>334</v>
      </c>
      <c r="C24" s="63" t="n">
        <v>4066</v>
      </c>
      <c r="D24" s="63" t="n">
        <v>1938</v>
      </c>
      <c r="E24" s="63" t="n">
        <v>791</v>
      </c>
      <c r="F24" s="63" t="n">
        <v>273</v>
      </c>
      <c r="G24" s="63" t="n">
        <v>36</v>
      </c>
      <c r="H24" s="63" t="n">
        <v>1</v>
      </c>
      <c r="I24" s="64" t="n">
        <f aca="false">IF(AND(C24&lt;&gt;"",E24&lt;&gt;""),E24/C24,"")</f>
        <v>0.194540088539105</v>
      </c>
      <c r="J24" s="64" t="n">
        <f aca="false">IF(AND(D24&lt;&gt;"",F24&lt;&gt;""),F24/D24,"")</f>
        <v>0.140866873065015</v>
      </c>
      <c r="K24" s="68" t="str">
        <f aca="false">IF(I24="","",IF(I24&gt;=0.18,"✓ Cumple","✗ Por debajo"))</f>
        <v>✓ Cumple</v>
      </c>
      <c r="L24" s="68" t="str">
        <f aca="false">IF(J24="","",IF(J24&gt;=0.075,"✓ Cumple","✗ Por debajo"))</f>
        <v>✓ Cumple</v>
      </c>
    </row>
    <row r="25" customFormat="false" ht="15.75" hidden="false" customHeight="true" outlineLevel="0" collapsed="false">
      <c r="A25" s="66" t="n">
        <v>2023</v>
      </c>
      <c r="B25" s="67" t="s">
        <v>218</v>
      </c>
      <c r="C25" s="63" t="n">
        <v>4101</v>
      </c>
      <c r="D25" s="63" t="n">
        <v>2401</v>
      </c>
      <c r="E25" s="63" t="n">
        <v>1113</v>
      </c>
      <c r="F25" s="63" t="n">
        <v>519</v>
      </c>
      <c r="G25" s="63" t="n">
        <v>51</v>
      </c>
      <c r="H25" s="63" t="n">
        <v>1</v>
      </c>
      <c r="I25" s="64" t="n">
        <f aca="false">IF(AND(C25&lt;&gt;"",E25&lt;&gt;""),E25/C25,"")</f>
        <v>0.271397220190198</v>
      </c>
      <c r="J25" s="64" t="n">
        <f aca="false">IF(AND(D25&lt;&gt;"",F25&lt;&gt;""),F25/D25,"")</f>
        <v>0.2161599333611</v>
      </c>
      <c r="K25" s="68" t="str">
        <f aca="false">IF(I25="","",IF(I25&gt;=0.18,"✓ Cumple","✗ Por debajo"))</f>
        <v>✓ Cumple</v>
      </c>
      <c r="L25" s="68" t="str">
        <f aca="false">IF(J25="","",IF(J25&gt;=0.075,"✓ Cumple","✗ Por debajo"))</f>
        <v>✓ Cumple</v>
      </c>
    </row>
    <row r="26" customFormat="false" ht="15.75" hidden="false" customHeight="true" outlineLevel="0" collapsed="false">
      <c r="A26" s="72" t="n">
        <v>2023</v>
      </c>
      <c r="B26" s="73" t="s">
        <v>244</v>
      </c>
      <c r="C26" s="63" t="n">
        <v>4101</v>
      </c>
      <c r="D26" s="63" t="n">
        <v>2741</v>
      </c>
      <c r="E26" s="63" t="n">
        <v>1125</v>
      </c>
      <c r="F26" s="63" t="n">
        <v>560</v>
      </c>
      <c r="G26" s="63" t="n">
        <v>41</v>
      </c>
      <c r="H26" s="63" t="n">
        <v>1</v>
      </c>
      <c r="I26" s="64" t="n">
        <f aca="false">IF(AND(C26&lt;&gt;"",E26&lt;&gt;""),E26/C26,"")</f>
        <v>0.274323335771763</v>
      </c>
      <c r="J26" s="64" t="n">
        <f aca="false">IF(AND(D26&lt;&gt;"",F26&lt;&gt;""),F26/D26,"")</f>
        <v>0.204304998175848</v>
      </c>
      <c r="K26" s="68" t="str">
        <f aca="false">IF(I26="","",IF(I26&gt;=0.18,"✓ Cumple","✗ Por debajo"))</f>
        <v>✓ Cumple</v>
      </c>
      <c r="L26" s="68" t="str">
        <f aca="false">IF(J26="","",IF(J26&gt;=0.075,"✓ Cumple","✗ Por debajo"))</f>
        <v>✓ Cumple</v>
      </c>
    </row>
    <row r="27" customFormat="false" ht="15.75" hidden="false" customHeight="true" outlineLevel="0" collapsed="false">
      <c r="A27" s="66" t="n">
        <v>2023</v>
      </c>
      <c r="B27" s="67" t="s">
        <v>270</v>
      </c>
      <c r="C27" s="63" t="n">
        <v>4101</v>
      </c>
      <c r="D27" s="63" t="n">
        <v>3979</v>
      </c>
      <c r="E27" s="63" t="n">
        <v>942</v>
      </c>
      <c r="F27" s="63" t="n">
        <v>637</v>
      </c>
      <c r="G27" s="63" t="n">
        <v>41</v>
      </c>
      <c r="H27" s="63" t="n">
        <v>1</v>
      </c>
      <c r="I27" s="64" t="n">
        <f aca="false">IF(AND(C27&lt;&gt;"",E27&lt;&gt;""),E27/C27,"")</f>
        <v>0.22970007315289</v>
      </c>
      <c r="J27" s="64" t="n">
        <f aca="false">IF(AND(D27&lt;&gt;"",F27&lt;&gt;""),F27/D27,"")</f>
        <v>0.160090474993717</v>
      </c>
      <c r="K27" s="68" t="str">
        <f aca="false">IF(I27="","",IF(I27&gt;=0.18,"✓ Cumple","✗ Por debajo"))</f>
        <v>✓ Cumple</v>
      </c>
      <c r="L27" s="68" t="str">
        <f aca="false">IF(J27="","",IF(J27&gt;=0.075,"✓ Cumple","✗ Por debajo"))</f>
        <v>✓ Cumple</v>
      </c>
    </row>
    <row r="28" customFormat="false" ht="15.75" hidden="false" customHeight="true" outlineLevel="0" collapsed="false">
      <c r="A28" s="72" t="n">
        <v>2024</v>
      </c>
      <c r="B28" s="73" t="s">
        <v>330</v>
      </c>
      <c r="C28" s="63" t="n">
        <v>3808</v>
      </c>
      <c r="D28" s="63" t="n">
        <v>3708</v>
      </c>
      <c r="E28" s="63" t="n">
        <v>1185</v>
      </c>
      <c r="F28" s="63" t="n">
        <v>525</v>
      </c>
      <c r="G28" s="63" t="n">
        <v>198</v>
      </c>
      <c r="H28" s="63" t="n">
        <v>1</v>
      </c>
      <c r="I28" s="64" t="n">
        <f aca="false">IF(AND(C28&lt;&gt;"",E28&lt;&gt;""),E28/C28,"")</f>
        <v>0.311186974789916</v>
      </c>
      <c r="J28" s="64" t="n">
        <f aca="false">IF(AND(D28&lt;&gt;"",F28&lt;&gt;""),F28/D28,"")</f>
        <v>0.141585760517799</v>
      </c>
      <c r="K28" s="68" t="str">
        <f aca="false">IF(I28="","",IF(I28&gt;=0.18,"✓ Cumple","✗ Por debajo"))</f>
        <v>✓ Cumple</v>
      </c>
      <c r="L28" s="68" t="str">
        <f aca="false">IF(J28="","",IF(J28&gt;=0.075,"✓ Cumple","✗ Por debajo"))</f>
        <v>✓ Cumple</v>
      </c>
    </row>
    <row r="29" customFormat="false" ht="15.75" hidden="false" customHeight="true" outlineLevel="0" collapsed="false">
      <c r="A29" s="66" t="n">
        <v>2024</v>
      </c>
      <c r="B29" s="67" t="s">
        <v>331</v>
      </c>
      <c r="C29" s="63" t="n">
        <v>3808</v>
      </c>
      <c r="D29" s="63" t="n">
        <v>5629</v>
      </c>
      <c r="E29" s="63" t="n">
        <v>1260</v>
      </c>
      <c r="F29" s="63" t="n">
        <v>1143</v>
      </c>
      <c r="G29" s="63" t="n">
        <v>130</v>
      </c>
      <c r="H29" s="63" t="n">
        <v>1</v>
      </c>
      <c r="I29" s="64" t="n">
        <f aca="false">IF(AND(C29&lt;&gt;"",E29&lt;&gt;""),E29/C29,"")</f>
        <v>0.330882352941176</v>
      </c>
      <c r="J29" s="64" t="n">
        <f aca="false">IF(AND(D29&lt;&gt;"",F29&lt;&gt;""),F29/D29,"")</f>
        <v>0.20305560490318</v>
      </c>
      <c r="K29" s="68" t="str">
        <f aca="false">IF(I29="","",IF(I29&gt;=0.18,"✓ Cumple","✗ Por debajo"))</f>
        <v>✓ Cumple</v>
      </c>
      <c r="L29" s="68" t="str">
        <f aca="false">IF(J29="","",IF(J29&gt;=0.075,"✓ Cumple","✗ Por debajo"))</f>
        <v>✓ Cumple</v>
      </c>
    </row>
    <row r="30" customFormat="false" ht="15.75" hidden="false" customHeight="true" outlineLevel="0" collapsed="false">
      <c r="A30" s="72" t="n">
        <v>2024</v>
      </c>
      <c r="B30" s="73" t="s">
        <v>332</v>
      </c>
      <c r="C30" s="63" t="n">
        <v>3808</v>
      </c>
      <c r="D30" s="63" t="n">
        <v>3401</v>
      </c>
      <c r="E30" s="63" t="n">
        <v>1241</v>
      </c>
      <c r="F30" s="63" t="n">
        <v>411</v>
      </c>
      <c r="G30" s="63" t="n">
        <v>146</v>
      </c>
      <c r="H30" s="63" t="n">
        <v>1</v>
      </c>
      <c r="I30" s="64" t="n">
        <f aca="false">IF(AND(C30&lt;&gt;"",E30&lt;&gt;""),E30/C30,"")</f>
        <v>0.325892857142857</v>
      </c>
      <c r="J30" s="64" t="n">
        <f aca="false">IF(AND(D30&lt;&gt;"",F30&lt;&gt;""),F30/D30,"")</f>
        <v>0.120846809761835</v>
      </c>
      <c r="K30" s="68" t="str">
        <f aca="false">IF(I30="","",IF(I30&gt;=0.18,"✓ Cumple","✗ Por debajo"))</f>
        <v>✓ Cumple</v>
      </c>
      <c r="L30" s="68" t="str">
        <f aca="false">IF(J30="","",IF(J30&gt;=0.075,"✓ Cumple","✗ Por debajo"))</f>
        <v>✓ Cumple</v>
      </c>
    </row>
    <row r="31" customFormat="false" ht="15.75" hidden="false" customHeight="true" outlineLevel="0" collapsed="false">
      <c r="A31" s="66" t="n">
        <v>2024</v>
      </c>
      <c r="B31" s="67" t="s">
        <v>333</v>
      </c>
      <c r="C31" s="63" t="n">
        <v>3808</v>
      </c>
      <c r="D31" s="63" t="n">
        <v>4014</v>
      </c>
      <c r="E31" s="63" t="n">
        <v>1343</v>
      </c>
      <c r="F31" s="63" t="n">
        <v>1151</v>
      </c>
      <c r="G31" s="63" t="n">
        <v>105</v>
      </c>
      <c r="H31" s="63" t="n">
        <v>1</v>
      </c>
      <c r="I31" s="64" t="n">
        <f aca="false">IF(AND(C31&lt;&gt;"",E31&lt;&gt;""),E31/C31,"")</f>
        <v>0.352678571428571</v>
      </c>
      <c r="J31" s="64" t="n">
        <f aca="false">IF(AND(D31&lt;&gt;"",F31&lt;&gt;""),F31/D31,"")</f>
        <v>0.286746387643249</v>
      </c>
      <c r="K31" s="68" t="str">
        <f aca="false">IF(I31="","",IF(I31&gt;=0.18,"✓ Cumple","✗ Por debajo"))</f>
        <v>✓ Cumple</v>
      </c>
      <c r="L31" s="68" t="str">
        <f aca="false">IF(J31="","",IF(J31&gt;=0.075,"✓ Cumple","✗ Por debajo"))</f>
        <v>✓ Cumple</v>
      </c>
    </row>
    <row r="32" customFormat="false" ht="15.75" hidden="false" customHeight="true" outlineLevel="0" collapsed="false">
      <c r="A32" s="72" t="n">
        <v>2024</v>
      </c>
      <c r="B32" s="73" t="s">
        <v>65</v>
      </c>
      <c r="C32" s="63" t="n">
        <v>4799</v>
      </c>
      <c r="D32" s="63" t="n">
        <v>5346</v>
      </c>
      <c r="E32" s="63" t="n">
        <v>1393</v>
      </c>
      <c r="F32" s="63" t="n">
        <v>1068</v>
      </c>
      <c r="G32" s="63" t="n">
        <v>95</v>
      </c>
      <c r="H32" s="63" t="n">
        <v>2</v>
      </c>
      <c r="I32" s="64" t="n">
        <f aca="false">IF(AND(C32&lt;&gt;"",E32&lt;&gt;""),E32/C32,"")</f>
        <v>0.29026880600125</v>
      </c>
      <c r="J32" s="64" t="n">
        <f aca="false">IF(AND(D32&lt;&gt;"",F32&lt;&gt;""),F32/D32,"")</f>
        <v>0.199775533108866</v>
      </c>
      <c r="K32" s="68" t="str">
        <f aca="false">IF(I32="","",IF(I32&gt;=0.18,"✓ Cumple","✗ Por debajo"))</f>
        <v>✓ Cumple</v>
      </c>
      <c r="L32" s="68" t="str">
        <f aca="false">IF(J32="","",IF(J32&gt;=0.075,"✓ Cumple","✗ Por debajo"))</f>
        <v>✓ Cumple</v>
      </c>
    </row>
    <row r="33" customFormat="false" ht="15.75" hidden="false" customHeight="true" outlineLevel="0" collapsed="false">
      <c r="A33" s="66" t="n">
        <v>2024</v>
      </c>
      <c r="B33" s="67" t="s">
        <v>108</v>
      </c>
      <c r="C33" s="63" t="n">
        <v>4922</v>
      </c>
      <c r="D33" s="63" t="n">
        <v>1686</v>
      </c>
      <c r="E33" s="63" t="n">
        <v>600</v>
      </c>
      <c r="F33" s="63" t="n">
        <v>113</v>
      </c>
      <c r="G33" s="63" t="n">
        <v>123</v>
      </c>
      <c r="H33" s="63" t="n">
        <v>1</v>
      </c>
      <c r="I33" s="64" t="n">
        <f aca="false">IF(AND(C33&lt;&gt;"",E33&lt;&gt;""),E33/C33,"")</f>
        <v>0.121901665989435</v>
      </c>
      <c r="J33" s="64" t="n">
        <f aca="false">IF(AND(D33&lt;&gt;"",F33&lt;&gt;""),F33/D33,"")</f>
        <v>0.0670225385527877</v>
      </c>
      <c r="K33" s="68" t="str">
        <f aca="false">IF(I33="","",IF(I33&gt;=0.18,"✓ Cumple","✗ Por debajo"))</f>
        <v>✗ Por debajo</v>
      </c>
      <c r="L33" s="68" t="str">
        <f aca="false">IF(J33="","",IF(J33&gt;=0.075,"✓ Cumple","✗ Por debajo"))</f>
        <v>✗ Por debajo</v>
      </c>
    </row>
    <row r="34" customFormat="false" ht="15.75" hidden="false" customHeight="true" outlineLevel="0" collapsed="false">
      <c r="A34" s="72" t="n">
        <v>2024</v>
      </c>
      <c r="B34" s="73" t="s">
        <v>137</v>
      </c>
      <c r="C34" s="63" t="n">
        <v>5049</v>
      </c>
      <c r="D34" s="63" t="n">
        <v>11711</v>
      </c>
      <c r="E34" s="63" t="n">
        <v>2271</v>
      </c>
      <c r="F34" s="63" t="n">
        <v>988</v>
      </c>
      <c r="G34" s="63" t="n">
        <v>127</v>
      </c>
      <c r="H34" s="63" t="n">
        <v>3</v>
      </c>
      <c r="I34" s="64" t="n">
        <f aca="false">IF(AND(C34&lt;&gt;"",E34&lt;&gt;""),E34/C34,"")</f>
        <v>0.449792038027332</v>
      </c>
      <c r="J34" s="64" t="n">
        <f aca="false">IF(AND(D34&lt;&gt;"",F34&lt;&gt;""),F34/D34,"")</f>
        <v>0.0843651268038596</v>
      </c>
      <c r="K34" s="68" t="str">
        <f aca="false">IF(I34="","",IF(I34&gt;=0.18,"✓ Cumple","✗ Por debajo"))</f>
        <v>✓ Cumple</v>
      </c>
      <c r="L34" s="68" t="str">
        <f aca="false">IF(J34="","",IF(J34&gt;=0.075,"✓ Cumple","✗ Por debajo"))</f>
        <v>✓ Cumple</v>
      </c>
    </row>
    <row r="35" customFormat="false" ht="15.75" hidden="false" customHeight="true" outlineLevel="0" collapsed="false">
      <c r="A35" s="66" t="n">
        <v>2024</v>
      </c>
      <c r="B35" s="67" t="s">
        <v>166</v>
      </c>
      <c r="C35" s="63" t="n">
        <v>5149</v>
      </c>
      <c r="D35" s="63" t="n">
        <v>3687</v>
      </c>
      <c r="E35" s="63" t="n">
        <v>3687</v>
      </c>
      <c r="F35" s="63" t="n">
        <v>267</v>
      </c>
      <c r="G35" s="63" t="n">
        <v>100</v>
      </c>
      <c r="H35" s="63" t="n">
        <v>1</v>
      </c>
      <c r="I35" s="64" t="n">
        <f aca="false">IF(AND(C35&lt;&gt;"",E35&lt;&gt;""),E35/C35,"")</f>
        <v>0.716061371140027</v>
      </c>
      <c r="J35" s="64" t="n">
        <f aca="false">IF(AND(D35&lt;&gt;"",F35&lt;&gt;""),F35/D35,"")</f>
        <v>0.0724165988608625</v>
      </c>
      <c r="K35" s="68" t="str">
        <f aca="false">IF(I35="","",IF(I35&gt;=0.18,"✓ Cumple","✗ Por debajo"))</f>
        <v>✓ Cumple</v>
      </c>
      <c r="L35" s="68" t="str">
        <f aca="false">IF(J35="","",IF(J35&gt;=0.075,"✓ Cumple","✗ Por debajo"))</f>
        <v>✗ Por debajo</v>
      </c>
    </row>
    <row r="36" customFormat="false" ht="15.75" hidden="false" customHeight="true" outlineLevel="0" collapsed="false">
      <c r="A36" s="72" t="n">
        <v>2024</v>
      </c>
      <c r="B36" s="73" t="s">
        <v>334</v>
      </c>
      <c r="C36" s="63" t="n">
        <v>5299</v>
      </c>
      <c r="D36" s="63" t="n">
        <v>6612</v>
      </c>
      <c r="E36" s="63" t="n">
        <v>3856</v>
      </c>
      <c r="F36" s="63" t="n">
        <v>593</v>
      </c>
      <c r="G36" s="63" t="n">
        <v>150</v>
      </c>
      <c r="H36" s="63" t="n">
        <v>1</v>
      </c>
      <c r="I36" s="64" t="n">
        <f aca="false">IF(AND(C36&lt;&gt;"",E36&lt;&gt;""),E36/C36,"")</f>
        <v>0.727684468767692</v>
      </c>
      <c r="J36" s="64" t="n">
        <f aca="false">IF(AND(D36&lt;&gt;"",F36&lt;&gt;""),F36/D36,"")</f>
        <v>0.0896854204476709</v>
      </c>
      <c r="K36" s="68" t="str">
        <f aca="false">IF(I36="","",IF(I36&gt;=0.18,"✓ Cumple","✗ Por debajo"))</f>
        <v>✓ Cumple</v>
      </c>
      <c r="L36" s="68" t="str">
        <f aca="false">IF(J36="","",IF(J36&gt;=0.075,"✓ Cumple","✗ Por debajo"))</f>
        <v>✓ Cumple</v>
      </c>
    </row>
    <row r="37" customFormat="false" ht="15.75" hidden="false" customHeight="true" outlineLevel="0" collapsed="false">
      <c r="A37" s="66" t="n">
        <v>2024</v>
      </c>
      <c r="B37" s="67" t="s">
        <v>218</v>
      </c>
      <c r="C37" s="63" t="n">
        <v>5394</v>
      </c>
      <c r="D37" s="63" t="n">
        <v>3301</v>
      </c>
      <c r="E37" s="63" t="n">
        <v>1488</v>
      </c>
      <c r="F37" s="63" t="n">
        <v>225</v>
      </c>
      <c r="G37" s="63" t="n">
        <v>140</v>
      </c>
      <c r="H37" s="63" t="n">
        <v>1</v>
      </c>
      <c r="I37" s="64" t="n">
        <f aca="false">IF(AND(C37&lt;&gt;"",E37&lt;&gt;""),E37/C37,"")</f>
        <v>0.275862068965517</v>
      </c>
      <c r="J37" s="64" t="n">
        <f aca="false">IF(AND(D37&lt;&gt;"",F37&lt;&gt;""),F37/D37,"")</f>
        <v>0.0681611632838534</v>
      </c>
      <c r="K37" s="68" t="str">
        <f aca="false">IF(I37="","",IF(I37&gt;=0.18,"✓ Cumple","✗ Por debajo"))</f>
        <v>✓ Cumple</v>
      </c>
      <c r="L37" s="68" t="str">
        <f aca="false">IF(J37="","",IF(J37&gt;=0.075,"✓ Cumple","✗ Por debajo"))</f>
        <v>✗ Por debajo</v>
      </c>
    </row>
    <row r="38" customFormat="false" ht="15.75" hidden="false" customHeight="true" outlineLevel="0" collapsed="false">
      <c r="A38" s="72" t="n">
        <v>2024</v>
      </c>
      <c r="B38" s="73" t="s">
        <v>244</v>
      </c>
      <c r="C38" s="63" t="n">
        <v>5394</v>
      </c>
      <c r="D38" s="63" t="n">
        <v>960</v>
      </c>
      <c r="E38" s="63" t="n">
        <v>221</v>
      </c>
      <c r="F38" s="63" t="n">
        <v>58</v>
      </c>
      <c r="G38" s="63" t="n">
        <v>72</v>
      </c>
      <c r="H38" s="63" t="n">
        <v>0</v>
      </c>
      <c r="I38" s="64" t="n">
        <f aca="false">IF(AND(C38&lt;&gt;"",E38&lt;&gt;""),E38/C38,"")</f>
        <v>0.0409714497589915</v>
      </c>
      <c r="J38" s="64" t="n">
        <f aca="false">IF(AND(D38&lt;&gt;"",F38&lt;&gt;""),F38/D38,"")</f>
        <v>0.0604166666666667</v>
      </c>
      <c r="K38" s="68" t="str">
        <f aca="false">IF(I38="","",IF(I38&gt;=0.18,"✓ Cumple","✗ Por debajo"))</f>
        <v>✗ Por debajo</v>
      </c>
      <c r="L38" s="68" t="str">
        <f aca="false">IF(J38="","",IF(J38&gt;=0.075,"✓ Cumple","✗ Por debajo"))</f>
        <v>✗ Por debajo</v>
      </c>
    </row>
    <row r="39" customFormat="false" ht="15.75" hidden="false" customHeight="true" outlineLevel="0" collapsed="false">
      <c r="A39" s="66" t="n">
        <v>2024</v>
      </c>
      <c r="B39" s="67" t="s">
        <v>270</v>
      </c>
      <c r="C39" s="63" t="n">
        <v>5544</v>
      </c>
      <c r="D39" s="63" t="n">
        <v>1107</v>
      </c>
      <c r="E39" s="63" t="n">
        <v>324</v>
      </c>
      <c r="F39" s="63" t="n">
        <v>67</v>
      </c>
      <c r="G39" s="63" t="n">
        <v>95</v>
      </c>
      <c r="H39" s="63" t="n">
        <v>1</v>
      </c>
      <c r="I39" s="64" t="n">
        <f aca="false">IF(AND(C39&lt;&gt;"",E39&lt;&gt;""),E39/C39,"")</f>
        <v>0.0584415584415584</v>
      </c>
      <c r="J39" s="64" t="n">
        <f aca="false">IF(AND(D39&lt;&gt;"",F39&lt;&gt;""),F39/D39,"")</f>
        <v>0.0605239385727191</v>
      </c>
      <c r="K39" s="68" t="str">
        <f aca="false">IF(I39="","",IF(I39&gt;=0.18,"✓ Cumple","✗ Por debajo"))</f>
        <v>✗ Por debajo</v>
      </c>
      <c r="L39" s="68" t="str">
        <f aca="false">IF(J39="","",IF(J39&gt;=0.075,"✓ Cumple","✗ Por debajo"))</f>
        <v>✗ Por debajo</v>
      </c>
    </row>
    <row r="40" customFormat="false" ht="15.75" hidden="false" customHeight="true" outlineLevel="0" collapsed="false">
      <c r="A40" s="72" t="n">
        <v>2025</v>
      </c>
      <c r="B40" s="73" t="s">
        <v>330</v>
      </c>
      <c r="C40" s="63" t="n">
        <v>5603</v>
      </c>
      <c r="D40" s="63" t="n">
        <v>3064</v>
      </c>
      <c r="E40" s="63" t="n">
        <v>1449</v>
      </c>
      <c r="F40" s="63" t="n">
        <v>250</v>
      </c>
      <c r="G40" s="63" t="n">
        <v>59</v>
      </c>
      <c r="H40" s="63" t="n">
        <v>0</v>
      </c>
      <c r="I40" s="64" t="n">
        <f aca="false">IF(AND(C40&lt;&gt;"",E40&lt;&gt;""),E40/C40,"")</f>
        <v>0.258611458147421</v>
      </c>
      <c r="J40" s="64" t="n">
        <f aca="false">IF(AND(D40&lt;&gt;"",F40&lt;&gt;""),F40/D40,"")</f>
        <v>0.0815926892950392</v>
      </c>
      <c r="K40" s="68" t="str">
        <f aca="false">IF(I40="","",IF(I40&gt;=0.18,"✓ Cumple","✗ Por debajo"))</f>
        <v>✓ Cumple</v>
      </c>
      <c r="L40" s="68" t="str">
        <f aca="false">IF(J40="","",IF(J40&gt;=0.075,"✓ Cumple","✗ Por debajo"))</f>
        <v>✓ Cumple</v>
      </c>
    </row>
    <row r="41" customFormat="false" ht="15.75" hidden="false" customHeight="true" outlineLevel="0" collapsed="false">
      <c r="A41" s="66" t="n">
        <v>2025</v>
      </c>
      <c r="B41" s="67" t="s">
        <v>331</v>
      </c>
      <c r="C41" s="63" t="n">
        <v>5648</v>
      </c>
      <c r="D41" s="63" t="n">
        <v>944</v>
      </c>
      <c r="E41" s="63" t="n">
        <v>311</v>
      </c>
      <c r="F41" s="63" t="n">
        <v>69</v>
      </c>
      <c r="G41" s="63" t="n">
        <v>45</v>
      </c>
      <c r="H41" s="63" t="n">
        <v>1</v>
      </c>
      <c r="I41" s="64" t="n">
        <f aca="false">IF(AND(C41&lt;&gt;"",E41&lt;&gt;""),E41/C41,"")</f>
        <v>0.0550637393767705</v>
      </c>
      <c r="J41" s="64" t="n">
        <f aca="false">IF(AND(D41&lt;&gt;"",F41&lt;&gt;""),F41/D41,"")</f>
        <v>0.0730932203389831</v>
      </c>
      <c r="K41" s="68" t="str">
        <f aca="false">IF(I41="","",IF(I41&gt;=0.18,"✓ Cumple","✗ Por debajo"))</f>
        <v>✗ Por debajo</v>
      </c>
      <c r="L41" s="68" t="str">
        <f aca="false">IF(J41="","",IF(J41&gt;=0.075,"✓ Cumple","✗ Por debajo"))</f>
        <v>✗ Por debajo</v>
      </c>
    </row>
    <row r="42" customFormat="false" ht="15.75" hidden="false" customHeight="true" outlineLevel="0" collapsed="false">
      <c r="A42" s="72" t="n">
        <v>2025</v>
      </c>
      <c r="B42" s="73" t="s">
        <v>332</v>
      </c>
      <c r="C42" s="63" t="n">
        <v>5692</v>
      </c>
      <c r="D42" s="63" t="n">
        <v>2333</v>
      </c>
      <c r="E42" s="63" t="n">
        <v>1122</v>
      </c>
      <c r="F42" s="63" t="n">
        <v>199</v>
      </c>
      <c r="G42" s="63" t="n">
        <v>40</v>
      </c>
      <c r="H42" s="63" t="n">
        <v>2</v>
      </c>
      <c r="I42" s="64" t="n">
        <f aca="false">IF(AND(C42&lt;&gt;"",E42&lt;&gt;""),E42/C42,"")</f>
        <v>0.197118763176388</v>
      </c>
      <c r="J42" s="64" t="n">
        <f aca="false">IF(AND(D42&lt;&gt;"",F42&lt;&gt;""),F42/D42,"")</f>
        <v>0.0852978996999571</v>
      </c>
      <c r="K42" s="68" t="str">
        <f aca="false">IF(I42="","",IF(I42&gt;=0.18,"✓ Cumple","✗ Por debajo"))</f>
        <v>✓ Cumple</v>
      </c>
      <c r="L42" s="68" t="str">
        <f aca="false">IF(J42="","",IF(J42&gt;=0.075,"✓ Cumple","✗ Por debajo"))</f>
        <v>✓ Cumple</v>
      </c>
    </row>
    <row r="43" customFormat="false" ht="15.75" hidden="false" customHeight="true" outlineLevel="0" collapsed="false">
      <c r="A43" s="66" t="n">
        <v>2025</v>
      </c>
      <c r="B43" s="67" t="s">
        <v>333</v>
      </c>
      <c r="C43" s="63" t="n">
        <v>5711</v>
      </c>
      <c r="D43" s="63" t="n">
        <v>2169</v>
      </c>
      <c r="E43" s="63" t="n">
        <v>1184</v>
      </c>
      <c r="F43" s="63" t="n">
        <v>264</v>
      </c>
      <c r="G43" s="63" t="n">
        <v>38</v>
      </c>
      <c r="H43" s="63" t="n">
        <v>2</v>
      </c>
      <c r="I43" s="64" t="n">
        <f aca="false">IF(AND(C43&lt;&gt;"",E43&lt;&gt;""),E43/C43,"")</f>
        <v>0.207319208544913</v>
      </c>
      <c r="J43" s="64" t="n">
        <f aca="false">IF(AND(D43&lt;&gt;"",F43&lt;&gt;""),F43/D43,"")</f>
        <v>0.121715076071923</v>
      </c>
      <c r="K43" s="68" t="str">
        <f aca="false">IF(I43="","",IF(I43&gt;=0.18,"✓ Cumple","✗ Por debajo"))</f>
        <v>✓ Cumple</v>
      </c>
      <c r="L43" s="68" t="str">
        <f aca="false">IF(J43="","",IF(J43&gt;=0.075,"✓ Cumple","✗ Por debajo"))</f>
        <v>✓ Cumple</v>
      </c>
    </row>
    <row r="44" customFormat="false" ht="15.75" hidden="false" customHeight="true" outlineLevel="0" collapsed="false">
      <c r="A44" s="72" t="n">
        <v>2025</v>
      </c>
      <c r="B44" s="73" t="s">
        <v>65</v>
      </c>
      <c r="C44" s="63" t="n">
        <v>5711</v>
      </c>
      <c r="D44" s="63" t="n">
        <v>5101</v>
      </c>
      <c r="E44" s="63" t="n">
        <v>2499</v>
      </c>
      <c r="F44" s="63" t="n">
        <v>776</v>
      </c>
      <c r="G44" s="63" t="n">
        <v>79</v>
      </c>
      <c r="H44" s="63" t="n">
        <v>3</v>
      </c>
      <c r="I44" s="64" t="n">
        <f aca="false">IF(AND(C44&lt;&gt;"",E44&lt;&gt;""),E44/C44,"")</f>
        <v>0.437576606548766</v>
      </c>
      <c r="J44" s="64" t="n">
        <f aca="false">IF(AND(D44&lt;&gt;"",F44&lt;&gt;""),F44/D44,"")</f>
        <v>0.152127033914919</v>
      </c>
      <c r="K44" s="68" t="str">
        <f aca="false">IF(I44="","",IF(I44&gt;=0.18,"✓ Cumple","✗ Por debajo"))</f>
        <v>✓ Cumple</v>
      </c>
      <c r="L44" s="68" t="str">
        <f aca="false">IF(J44="","",IF(J44&gt;=0.075,"✓ Cumple","✗ Por debajo"))</f>
        <v>✓ Cumple</v>
      </c>
    </row>
    <row r="45" customFormat="false" ht="15.75" hidden="false" customHeight="true" outlineLevel="0" collapsed="false">
      <c r="A45" s="66" t="n">
        <v>2025</v>
      </c>
      <c r="B45" s="67" t="s">
        <v>108</v>
      </c>
      <c r="C45" s="63" t="n">
        <v>5741</v>
      </c>
      <c r="D45" s="63" t="n">
        <v>2772</v>
      </c>
      <c r="E45" s="63" t="n">
        <v>1355</v>
      </c>
      <c r="F45" s="63" t="n">
        <v>319</v>
      </c>
      <c r="G45" s="63" t="n">
        <v>30</v>
      </c>
      <c r="H45" s="63" t="n">
        <v>2</v>
      </c>
      <c r="I45" s="64" t="n">
        <f aca="false">IF(AND(C45&lt;&gt;"",E45&lt;&gt;""),E45/C45,"")</f>
        <v>0.23602159902456</v>
      </c>
      <c r="J45" s="64" t="n">
        <f aca="false">IF(AND(D45&lt;&gt;"",F45&lt;&gt;""),F45/D45,"")</f>
        <v>0.115079365079365</v>
      </c>
      <c r="K45" s="68" t="str">
        <f aca="false">IF(I45="","",IF(I45&gt;=0.18,"✓ Cumple","✗ Por debajo"))</f>
        <v>✓ Cumple</v>
      </c>
      <c r="L45" s="68" t="str">
        <f aca="false">IF(J45="","",IF(J45&gt;=0.075,"✓ Cumple","✗ Por debajo"))</f>
        <v>✓ Cumple</v>
      </c>
    </row>
    <row r="46" customFormat="false" ht="15.75" hidden="false" customHeight="true" outlineLevel="0" collapsed="false">
      <c r="A46" s="72" t="n">
        <v>2025</v>
      </c>
      <c r="B46" s="73" t="s">
        <v>137</v>
      </c>
      <c r="C46" s="63" t="n">
        <v>5849</v>
      </c>
      <c r="D46" s="63" t="n">
        <v>889</v>
      </c>
      <c r="E46" s="63" t="n">
        <v>214</v>
      </c>
      <c r="F46" s="63" t="n">
        <v>43</v>
      </c>
      <c r="G46" s="63" t="n">
        <v>48</v>
      </c>
      <c r="H46" s="63" t="n">
        <v>0</v>
      </c>
      <c r="I46" s="64" t="n">
        <f aca="false">IF(AND(C46&lt;&gt;"",E46&lt;&gt;""),E46/C46,"")</f>
        <v>0.0365874508462985</v>
      </c>
      <c r="J46" s="64" t="n">
        <f aca="false">IF(AND(D46&lt;&gt;"",F46&lt;&gt;""),F46/D46,"")</f>
        <v>0.0483689538807649</v>
      </c>
      <c r="K46" s="68" t="str">
        <f aca="false">IF(I46="","",IF(I46&gt;=0.18,"✓ Cumple","✗ Por debajo"))</f>
        <v>✗ Por debajo</v>
      </c>
      <c r="L46" s="68" t="str">
        <f aca="false">IF(J46="","",IF(J46&gt;=0.075,"✓ Cumple","✗ Por debajo"))</f>
        <v>✗ Por debajo</v>
      </c>
    </row>
    <row r="47" customFormat="false" ht="15.75" hidden="false" customHeight="true" outlineLevel="0" collapsed="false">
      <c r="A47" s="66" t="n">
        <v>2025</v>
      </c>
      <c r="B47" s="67" t="s">
        <v>166</v>
      </c>
      <c r="C47" s="63" t="n">
        <v>5940</v>
      </c>
      <c r="D47" s="63" t="n">
        <v>5382</v>
      </c>
      <c r="E47" s="63" t="n">
        <v>2438</v>
      </c>
      <c r="F47" s="63" t="n">
        <v>676</v>
      </c>
      <c r="G47" s="63" t="n">
        <v>31</v>
      </c>
      <c r="H47" s="63" t="n">
        <v>1</v>
      </c>
      <c r="I47" s="64" t="n">
        <f aca="false">IF(AND(C47&lt;&gt;"",E47&lt;&gt;""),E47/C47,"")</f>
        <v>0.41043771043771</v>
      </c>
      <c r="J47" s="64" t="n">
        <f aca="false">IF(AND(D47&lt;&gt;"",F47&lt;&gt;""),F47/D47,"")</f>
        <v>0.1256038647343</v>
      </c>
      <c r="K47" s="68" t="str">
        <f aca="false">IF(I47="","",IF(I47&gt;=0.18,"✓ Cumple","✗ Por debajo"))</f>
        <v>✓ Cumple</v>
      </c>
      <c r="L47" s="68" t="str">
        <f aca="false">IF(J47="","",IF(J47&gt;=0.075,"✓ Cumple","✗ Por debajo"))</f>
        <v>✓ Cumple</v>
      </c>
    </row>
    <row r="48" customFormat="false" ht="15.75" hidden="false" customHeight="true" outlineLevel="0" collapsed="false">
      <c r="A48" s="72" t="n">
        <v>2025</v>
      </c>
      <c r="B48" s="73" t="s">
        <v>334</v>
      </c>
      <c r="C48" s="63" t="n">
        <v>6000</v>
      </c>
      <c r="D48" s="63" t="n">
        <v>1431</v>
      </c>
      <c r="E48" s="63" t="n">
        <v>400</v>
      </c>
      <c r="F48" s="63" t="n">
        <v>15</v>
      </c>
      <c r="G48" s="63" t="n">
        <v>18</v>
      </c>
      <c r="H48" s="63" t="n">
        <v>1</v>
      </c>
      <c r="I48" s="64" t="n">
        <f aca="false">IF(AND(C48&lt;&gt;"",E48&lt;&gt;""),E48/C48,"")</f>
        <v>0.0666666666666667</v>
      </c>
      <c r="J48" s="64" t="n">
        <f aca="false">IF(AND(D48&lt;&gt;"",F48&lt;&gt;""),F48/D48,"")</f>
        <v>0.010482180293501</v>
      </c>
      <c r="K48" s="68" t="str">
        <f aca="false">IF(I48="","",IF(I48&gt;=0.18,"✓ Cumple","✗ Por debajo"))</f>
        <v>✗ Por debajo</v>
      </c>
      <c r="L48" s="68" t="str">
        <f aca="false">IF(J48="","",IF(J48&gt;=0.075,"✓ Cumple","✗ Por debajo"))</f>
        <v>✗ Por debajo</v>
      </c>
    </row>
    <row r="49" customFormat="false" ht="15.75" hidden="false" customHeight="true" outlineLevel="0" collapsed="false">
      <c r="A49" s="66" t="n">
        <v>2025</v>
      </c>
      <c r="B49" s="67" t="s">
        <v>218</v>
      </c>
      <c r="C49" s="63" t="n">
        <v>6050</v>
      </c>
      <c r="D49" s="63" t="n">
        <v>599</v>
      </c>
      <c r="E49" s="63" t="n">
        <v>200</v>
      </c>
      <c r="F49" s="63" t="n">
        <v>8</v>
      </c>
      <c r="G49" s="63" t="n">
        <v>12</v>
      </c>
      <c r="H49" s="63" t="n">
        <v>0</v>
      </c>
      <c r="I49" s="64" t="n">
        <f aca="false">IF(AND(C49&lt;&gt;"",E49&lt;&gt;""),E49/C49,"")</f>
        <v>0.0330578512396694</v>
      </c>
      <c r="J49" s="64" t="n">
        <f aca="false">IF(AND(D49&lt;&gt;"",F49&lt;&gt;""),F49/D49,"")</f>
        <v>0.013355592654424</v>
      </c>
      <c r="K49" s="68" t="str">
        <f aca="false">IF(I49="","",IF(I49&gt;=0.18,"✓ Cumple","✗ Por debajo"))</f>
        <v>✗ Por debajo</v>
      </c>
      <c r="L49" s="68" t="str">
        <f aca="false">IF(J49="","",IF(J49&gt;=0.075,"✓ Cumple","✗ Por debajo"))</f>
        <v>✗ Por debajo</v>
      </c>
    </row>
    <row r="50" customFormat="false" ht="15.75" hidden="false" customHeight="true" outlineLevel="0" collapsed="false">
      <c r="A50" s="72" t="n">
        <v>2025</v>
      </c>
      <c r="B50" s="73" t="s">
        <v>244</v>
      </c>
      <c r="C50" s="63" t="n">
        <v>6100</v>
      </c>
      <c r="D50" s="63" t="n">
        <v>459</v>
      </c>
      <c r="E50" s="63" t="n">
        <v>150</v>
      </c>
      <c r="F50" s="63" t="n">
        <v>3</v>
      </c>
      <c r="G50" s="63" t="n">
        <v>10</v>
      </c>
      <c r="H50" s="63" t="n">
        <v>0</v>
      </c>
      <c r="I50" s="64" t="n">
        <f aca="false">IF(AND(C50&lt;&gt;"",E50&lt;&gt;""),E50/C50,"")</f>
        <v>0.0245901639344262</v>
      </c>
      <c r="J50" s="64" t="n">
        <f aca="false">IF(AND(D50&lt;&gt;"",F50&lt;&gt;""),F50/D50,"")</f>
        <v>0.0065359477124183</v>
      </c>
      <c r="K50" s="68" t="str">
        <f aca="false">IF(I50="","",IF(I50&gt;=0.18,"✓ Cumple","✗ Por debajo"))</f>
        <v>✗ Por debajo</v>
      </c>
      <c r="L50" s="68" t="str">
        <f aca="false">IF(J50="","",IF(J50&gt;=0.075,"✓ Cumple","✗ Por debajo"))</f>
        <v>✗ Por debajo</v>
      </c>
    </row>
    <row r="51" customFormat="false" ht="15.75" hidden="false" customHeight="true" outlineLevel="0" collapsed="false">
      <c r="A51" s="66" t="n">
        <v>2025</v>
      </c>
      <c r="B51" s="67" t="s">
        <v>270</v>
      </c>
      <c r="C51" s="63" t="n">
        <v>6163</v>
      </c>
      <c r="D51" s="63" t="n">
        <v>479</v>
      </c>
      <c r="E51" s="63" t="n">
        <v>160</v>
      </c>
      <c r="F51" s="63" t="n">
        <v>3</v>
      </c>
      <c r="G51" s="63" t="n">
        <v>8</v>
      </c>
      <c r="H51" s="63" t="n">
        <v>0</v>
      </c>
      <c r="I51" s="64" t="n">
        <f aca="false">IF(AND(C51&lt;&gt;"",E51&lt;&gt;""),E51/C51,"")</f>
        <v>0.0259613824436151</v>
      </c>
      <c r="J51" s="64" t="n">
        <f aca="false">IF(AND(D51&lt;&gt;"",F51&lt;&gt;""),F51/D51,"")</f>
        <v>0.00626304801670146</v>
      </c>
      <c r="K51" s="68" t="str">
        <f aca="false">IF(I51="","",IF(I51&gt;=0.18,"✓ Cumple","✗ Por debajo"))</f>
        <v>✗ Por debajo</v>
      </c>
      <c r="L51" s="68" t="str">
        <f aca="false">IF(J51="","",IF(J51&gt;=0.075,"✓ Cumple","✗ Por debajo"))</f>
        <v>✗ Por debajo</v>
      </c>
    </row>
    <row r="52" customFormat="false" ht="15.75" hidden="false" customHeight="true" outlineLevel="0" collapsed="false">
      <c r="A52" s="72" t="n">
        <v>2026</v>
      </c>
      <c r="B52" s="73" t="s">
        <v>330</v>
      </c>
      <c r="C52" s="63" t="n">
        <v>6114</v>
      </c>
      <c r="D52" s="63" t="n">
        <v>478</v>
      </c>
      <c r="E52" s="63" t="n">
        <v>73</v>
      </c>
      <c r="F52" s="63" t="n">
        <v>38</v>
      </c>
      <c r="G52" s="63" t="n">
        <v>22</v>
      </c>
      <c r="H52" s="63" t="n">
        <v>0</v>
      </c>
      <c r="I52" s="64" t="n">
        <f aca="false">IF(AND(C52&lt;&gt;"",E52&lt;&gt;""),E52/C52,"")</f>
        <v>0.011939810271508</v>
      </c>
      <c r="J52" s="64" t="n">
        <f aca="false">IF(AND(D52&lt;&gt;"",F52&lt;&gt;""),F52/D52,"")</f>
        <v>0.0794979079497908</v>
      </c>
      <c r="K52" s="68" t="str">
        <f aca="false">IF(I52="","",IF(I52&gt;=0.18,"✓ Cumple","✗ Por debajo"))</f>
        <v>✗ Por debajo</v>
      </c>
      <c r="L52" s="68" t="str">
        <f aca="false">IF(J52="","",IF(J52&gt;=0.075,"✓ Cumple","✗ Por debajo"))</f>
        <v>✓ Cumple</v>
      </c>
    </row>
    <row r="53" customFormat="false" ht="15.75" hidden="false" customHeight="true" outlineLevel="0" collapsed="false">
      <c r="A53" s="66" t="n">
        <v>2026</v>
      </c>
      <c r="B53" s="67" t="s">
        <v>331</v>
      </c>
      <c r="C53" s="63" t="n">
        <v>6136</v>
      </c>
      <c r="D53" s="63" t="n">
        <v>461</v>
      </c>
      <c r="E53" s="63" t="n">
        <v>68</v>
      </c>
      <c r="F53" s="63" t="n">
        <v>17</v>
      </c>
      <c r="G53" s="63" t="n">
        <v>22</v>
      </c>
      <c r="H53" s="63" t="n">
        <v>0</v>
      </c>
      <c r="I53" s="64" t="n">
        <f aca="false">IF(AND(C53&lt;&gt;"",E53&lt;&gt;""),E53/C53,"")</f>
        <v>0.0110821382007823</v>
      </c>
      <c r="J53" s="64" t="n">
        <f aca="false">IF(AND(D53&lt;&gt;"",F53&lt;&gt;""),F53/D53,"")</f>
        <v>0.0368763557483731</v>
      </c>
      <c r="K53" s="68" t="str">
        <f aca="false">IF(I53="","",IF(I53&gt;=0.18,"✓ Cumple","✗ Por debajo"))</f>
        <v>✗ Por debajo</v>
      </c>
      <c r="L53" s="68" t="str">
        <f aca="false">IF(J53="","",IF(J53&gt;=0.075,"✓ Cumple","✗ Por debajo"))</f>
        <v>✗ Por debajo</v>
      </c>
    </row>
    <row r="54" customFormat="false" ht="15.75" hidden="false" customHeight="true" outlineLevel="0" collapsed="false">
      <c r="A54" s="72" t="n">
        <v>2026</v>
      </c>
      <c r="B54" s="73" t="s">
        <v>332</v>
      </c>
      <c r="C54" s="63" t="n">
        <v>6165</v>
      </c>
      <c r="D54" s="63" t="n">
        <v>619</v>
      </c>
      <c r="E54" s="63" t="n">
        <v>82</v>
      </c>
      <c r="F54" s="63" t="n">
        <v>22</v>
      </c>
      <c r="G54" s="63" t="n">
        <v>29</v>
      </c>
      <c r="H54" s="63" t="n">
        <v>0</v>
      </c>
      <c r="I54" s="64" t="n">
        <f aca="false">IF(AND(C54&lt;&gt;"",E54&lt;&gt;""),E54/C54,"")</f>
        <v>0.0133008921330089</v>
      </c>
      <c r="J54" s="64" t="n">
        <f aca="false">IF(AND(D54&lt;&gt;"",F54&lt;&gt;""),F54/D54,"")</f>
        <v>0.0355411954765751</v>
      </c>
      <c r="K54" s="68" t="str">
        <f aca="false">IF(I54="","",IF(I54&gt;=0.18,"✓ Cumple","✗ Por debajo"))</f>
        <v>✗ Por debajo</v>
      </c>
      <c r="L54" s="68" t="str">
        <f aca="false">IF(J54="","",IF(J54&gt;=0.075,"✓ Cumple","✗ Por debajo"))</f>
        <v>✗ Por debajo</v>
      </c>
    </row>
    <row r="55" customFormat="false" ht="15.75" hidden="false" customHeight="true" outlineLevel="0" collapsed="false">
      <c r="A55" s="66" t="n">
        <v>2026</v>
      </c>
      <c r="B55" s="67" t="s">
        <v>333</v>
      </c>
      <c r="C55" s="63" t="n">
        <v>6165</v>
      </c>
      <c r="D55" s="63" t="n">
        <v>2192</v>
      </c>
      <c r="E55" s="63" t="n">
        <v>975</v>
      </c>
      <c r="F55" s="63" t="n">
        <v>258</v>
      </c>
      <c r="G55" s="63" t="n">
        <v>41</v>
      </c>
      <c r="H55" s="63" t="n">
        <v>1</v>
      </c>
      <c r="I55" s="64" t="n">
        <f aca="false">IF(AND(C55&lt;&gt;"",E55&lt;&gt;""),E55/C55,"")</f>
        <v>0.158150851581509</v>
      </c>
      <c r="J55" s="64" t="n">
        <f aca="false">IF(AND(D55&lt;&gt;"",F55&lt;&gt;""),F55/D55,"")</f>
        <v>0.117700729927007</v>
      </c>
      <c r="K55" s="68" t="str">
        <f aca="false">IF(I55="","",IF(I55&gt;=0.18,"✓ Cumple","✗ Por debajo"))</f>
        <v>✗ Por debajo</v>
      </c>
      <c r="L55" s="68" t="str">
        <f aca="false">IF(J55="","",IF(J55&gt;=0.075,"✓ Cumple","✗ Por debajo"))</f>
        <v>✓ Cumple</v>
      </c>
    </row>
    <row r="56" customFormat="false" ht="15.75" hidden="false" customHeight="true" outlineLevel="0" collapsed="false">
      <c r="A56" s="72" t="n">
        <v>2026</v>
      </c>
      <c r="B56" s="73" t="s">
        <v>65</v>
      </c>
      <c r="C56" s="63" t="n">
        <v>6280</v>
      </c>
      <c r="D56" s="63" t="n">
        <v>7.219</v>
      </c>
      <c r="E56" s="63" t="n">
        <v>3223</v>
      </c>
      <c r="F56" s="63" t="n">
        <v>819</v>
      </c>
      <c r="G56" s="63" t="n">
        <v>129</v>
      </c>
      <c r="H56" s="63" t="n">
        <v>2</v>
      </c>
      <c r="I56" s="64" t="n">
        <f aca="false">IF(AND(C56&lt;&gt;"",E56&lt;&gt;""),E56/C56,"")</f>
        <v>0.513216560509554</v>
      </c>
      <c r="J56" s="64" t="n">
        <f aca="false">IF(AND(D56&lt;&gt;"",F56&lt;&gt;""),F56/D56,"")</f>
        <v>113.450616428868</v>
      </c>
      <c r="K56" s="68" t="str">
        <f aca="false">IF(I56="","",IF(I56&gt;=0.18,"✓ Cumple","✗ Por debajo"))</f>
        <v>✓ Cumple</v>
      </c>
      <c r="L56" s="68" t="str">
        <f aca="false">IF(J56="","",IF(J56&gt;=0.075,"✓ Cumple","✗ Por debajo"))</f>
        <v>✓ Cumple</v>
      </c>
    </row>
    <row r="57" customFormat="false" ht="15.75" hidden="false" customHeight="true" outlineLevel="0" collapsed="false">
      <c r="A57" s="66" t="n">
        <v>2026</v>
      </c>
      <c r="B57" s="67" t="s">
        <v>108</v>
      </c>
      <c r="C57" s="63"/>
      <c r="D57" s="63"/>
      <c r="E57" s="63"/>
      <c r="F57" s="63"/>
      <c r="G57" s="63"/>
      <c r="H57" s="63"/>
      <c r="I57" s="64" t="str">
        <f aca="false">IF(AND(C57&lt;&gt;"",E57&lt;&gt;""),E57/C57,"")</f>
        <v/>
      </c>
      <c r="J57" s="64" t="str">
        <f aca="false">IF(AND(D57&lt;&gt;"",F57&lt;&gt;""),F57/D57,"")</f>
        <v/>
      </c>
      <c r="K57" s="68" t="str">
        <f aca="false">IF(I57="","",IF(I57&gt;=0.18,"✓ Cumple","✗ Por debajo"))</f>
        <v/>
      </c>
      <c r="L57" s="68" t="str">
        <f aca="false">IF(J57="","",IF(J57&gt;=0.075,"✓ Cumple","✗ Por debajo"))</f>
        <v/>
      </c>
    </row>
    <row r="58" customFormat="false" ht="15.75" hidden="false" customHeight="true" outlineLevel="0" collapsed="false">
      <c r="A58" s="72" t="n">
        <v>2026</v>
      </c>
      <c r="B58" s="73" t="s">
        <v>137</v>
      </c>
      <c r="C58" s="63"/>
      <c r="D58" s="63"/>
      <c r="E58" s="63"/>
      <c r="F58" s="63"/>
      <c r="G58" s="63"/>
      <c r="H58" s="63"/>
      <c r="I58" s="64" t="str">
        <f aca="false">IF(AND(C58&lt;&gt;"",E58&lt;&gt;""),E58/C58,"")</f>
        <v/>
      </c>
      <c r="J58" s="64" t="str">
        <f aca="false">IF(AND(D58&lt;&gt;"",F58&lt;&gt;""),F58/D58,"")</f>
        <v/>
      </c>
      <c r="K58" s="68" t="str">
        <f aca="false">IF(I58="","",IF(I58&gt;=0.18,"✓ Cumple","✗ Por debajo"))</f>
        <v/>
      </c>
      <c r="L58" s="68" t="str">
        <f aca="false">IF(J58="","",IF(J58&gt;=0.075,"✓ Cumple","✗ Por debajo"))</f>
        <v/>
      </c>
    </row>
    <row r="59" customFormat="false" ht="15.75" hidden="false" customHeight="true" outlineLevel="0" collapsed="false">
      <c r="A59" s="66" t="n">
        <v>2026</v>
      </c>
      <c r="B59" s="67" t="s">
        <v>166</v>
      </c>
      <c r="C59" s="63"/>
      <c r="D59" s="63"/>
      <c r="E59" s="63"/>
      <c r="F59" s="63"/>
      <c r="G59" s="63"/>
      <c r="H59" s="63"/>
      <c r="I59" s="64" t="str">
        <f aca="false">IF(AND(C59&lt;&gt;"",E59&lt;&gt;""),E59/C59,"")</f>
        <v/>
      </c>
      <c r="J59" s="64" t="str">
        <f aca="false">IF(AND(D59&lt;&gt;"",F59&lt;&gt;""),F59/D59,"")</f>
        <v/>
      </c>
      <c r="K59" s="68" t="str">
        <f aca="false">IF(I59="","",IF(I59&gt;=0.18,"✓ Cumple","✗ Por debajo"))</f>
        <v/>
      </c>
      <c r="L59" s="68" t="str">
        <f aca="false">IF(J59="","",IF(J59&gt;=0.075,"✓ Cumple","✗ Por debajo"))</f>
        <v/>
      </c>
    </row>
    <row r="60" customFormat="false" ht="15.75" hidden="false" customHeight="true" outlineLevel="0" collapsed="false">
      <c r="A60" s="72" t="n">
        <v>2026</v>
      </c>
      <c r="B60" s="73" t="s">
        <v>334</v>
      </c>
      <c r="C60" s="63"/>
      <c r="D60" s="63"/>
      <c r="E60" s="63"/>
      <c r="F60" s="63"/>
      <c r="G60" s="63"/>
      <c r="H60" s="63"/>
      <c r="I60" s="64" t="str">
        <f aca="false">IF(AND(C60&lt;&gt;"",E60&lt;&gt;""),E60/C60,"")</f>
        <v/>
      </c>
      <c r="J60" s="64" t="str">
        <f aca="false">IF(AND(D60&lt;&gt;"",F60&lt;&gt;""),F60/D60,"")</f>
        <v/>
      </c>
      <c r="K60" s="68" t="str">
        <f aca="false">IF(I60="","",IF(I60&gt;=0.18,"✓ Cumple","✗ Por debajo"))</f>
        <v/>
      </c>
      <c r="L60" s="68" t="str">
        <f aca="false">IF(J60="","",IF(J60&gt;=0.075,"✓ Cumple","✗ Por debajo"))</f>
        <v/>
      </c>
    </row>
    <row r="61" customFormat="false" ht="15.75" hidden="false" customHeight="true" outlineLevel="0" collapsed="false">
      <c r="A61" s="66" t="n">
        <v>2026</v>
      </c>
      <c r="B61" s="67" t="s">
        <v>218</v>
      </c>
      <c r="C61" s="63"/>
      <c r="D61" s="63"/>
      <c r="E61" s="63"/>
      <c r="F61" s="63"/>
      <c r="G61" s="63"/>
      <c r="H61" s="63"/>
      <c r="I61" s="64" t="str">
        <f aca="false">IF(AND(C61&lt;&gt;"",E61&lt;&gt;""),E61/C61,"")</f>
        <v/>
      </c>
      <c r="J61" s="64" t="str">
        <f aca="false">IF(AND(D61&lt;&gt;"",F61&lt;&gt;""),F61/D61,"")</f>
        <v/>
      </c>
      <c r="K61" s="68" t="str">
        <f aca="false">IF(I61="","",IF(I61&gt;=0.18,"✓ Cumple","✗ Por debajo"))</f>
        <v/>
      </c>
      <c r="L61" s="68" t="str">
        <f aca="false">IF(J61="","",IF(J61&gt;=0.075,"✓ Cumple","✗ Por debajo"))</f>
        <v/>
      </c>
    </row>
    <row r="62" customFormat="false" ht="15.75" hidden="false" customHeight="true" outlineLevel="0" collapsed="false">
      <c r="A62" s="72" t="n">
        <v>2026</v>
      </c>
      <c r="B62" s="73" t="s">
        <v>244</v>
      </c>
      <c r="C62" s="63"/>
      <c r="D62" s="63"/>
      <c r="E62" s="63"/>
      <c r="F62" s="63"/>
      <c r="G62" s="63"/>
      <c r="H62" s="63"/>
      <c r="I62" s="64" t="str">
        <f aca="false">IF(AND(C62&lt;&gt;"",E62&lt;&gt;""),E62/C62,"")</f>
        <v/>
      </c>
      <c r="J62" s="64" t="str">
        <f aca="false">IF(AND(D62&lt;&gt;"",F62&lt;&gt;""),F62/D62,"")</f>
        <v/>
      </c>
      <c r="K62" s="68" t="str">
        <f aca="false">IF(I62="","",IF(I62&gt;=0.18,"✓ Cumple","✗ Por debajo"))</f>
        <v/>
      </c>
      <c r="L62" s="68" t="str">
        <f aca="false">IF(J62="","",IF(J62&gt;=0.075,"✓ Cumple","✗ Por debajo"))</f>
        <v/>
      </c>
    </row>
    <row r="63" customFormat="false" ht="15.75" hidden="false" customHeight="true" outlineLevel="0" collapsed="false">
      <c r="A63" s="66" t="n">
        <v>2026</v>
      </c>
      <c r="B63" s="67" t="s">
        <v>270</v>
      </c>
      <c r="C63" s="63"/>
      <c r="D63" s="63"/>
      <c r="E63" s="63"/>
      <c r="F63" s="63"/>
      <c r="G63" s="63"/>
      <c r="H63" s="63"/>
      <c r="I63" s="64" t="str">
        <f aca="false">IF(AND(C63&lt;&gt;"",E63&lt;&gt;""),E63/C63,"")</f>
        <v/>
      </c>
      <c r="J63" s="64" t="str">
        <f aca="false">IF(AND(D63&lt;&gt;"",F63&lt;&gt;""),F63/D63,"")</f>
        <v/>
      </c>
      <c r="K63" s="68" t="str">
        <f aca="false">IF(I63="","",IF(I63&gt;=0.18,"✓ Cumple","✗ Por debajo"))</f>
        <v/>
      </c>
      <c r="L63" s="68" t="str">
        <f aca="false">IF(J63="","",IF(J63&gt;=0.075,"✓ Cumple","✗ Por debajo"))</f>
        <v/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G7" activeCellId="0" sqref="G7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3"/>
    <col collapsed="false" customWidth="true" hidden="false" outlineLevel="0" max="7" min="2" style="0" width="10"/>
    <col collapsed="false" customWidth="true" hidden="false" outlineLevel="0" max="9" min="8" style="0" width="12"/>
  </cols>
  <sheetData>
    <row r="1" customFormat="false" ht="27.75" hidden="false" customHeight="true" outlineLevel="0" collapsed="false">
      <c r="A1" s="74" t="s">
        <v>338</v>
      </c>
      <c r="B1" s="74"/>
      <c r="C1" s="74"/>
      <c r="D1" s="74"/>
      <c r="E1" s="74"/>
      <c r="F1" s="74"/>
      <c r="G1" s="74"/>
      <c r="H1" s="74"/>
      <c r="I1" s="74"/>
    </row>
    <row r="2" customFormat="false" ht="31.5" hidden="false" customHeight="true" outlineLevel="0" collapsed="false">
      <c r="A2" s="75" t="s">
        <v>53</v>
      </c>
      <c r="B2" s="75" t="s">
        <v>339</v>
      </c>
      <c r="C2" s="75" t="s">
        <v>340</v>
      </c>
      <c r="D2" s="75" t="s">
        <v>341</v>
      </c>
      <c r="E2" s="75" t="s">
        <v>342</v>
      </c>
      <c r="F2" s="75" t="s">
        <v>343</v>
      </c>
      <c r="G2" s="75" t="s">
        <v>344</v>
      </c>
      <c r="H2" s="75" t="s">
        <v>345</v>
      </c>
      <c r="I2" s="75" t="s">
        <v>346</v>
      </c>
    </row>
    <row r="3" customFormat="false" ht="15.75" hidden="false" customHeight="true" outlineLevel="0" collapsed="false">
      <c r="A3" s="67" t="s">
        <v>330</v>
      </c>
      <c r="B3" s="63" t="n">
        <v>860</v>
      </c>
      <c r="C3" s="63" t="n">
        <v>4429</v>
      </c>
      <c r="D3" s="63" t="n">
        <v>6415</v>
      </c>
      <c r="E3" s="63" t="n">
        <v>5056</v>
      </c>
      <c r="F3" s="63" t="n">
        <v>4965</v>
      </c>
      <c r="G3" s="63" t="n">
        <v>4818</v>
      </c>
      <c r="H3" s="64" t="n">
        <f aca="false">IF(OR(G3="",F3="",F3=0),"",(G3-F3)/F3)</f>
        <v>-0.029607250755287</v>
      </c>
      <c r="I3" s="68" t="n">
        <f aca="false">IF(COUNTA(B3:G3)=0,"",MAX(B3:G3))</f>
        <v>6415</v>
      </c>
    </row>
    <row r="4" customFormat="false" ht="15.75" hidden="false" customHeight="true" outlineLevel="0" collapsed="false">
      <c r="A4" s="76" t="s">
        <v>331</v>
      </c>
      <c r="B4" s="63" t="n">
        <v>814</v>
      </c>
      <c r="C4" s="63" t="n">
        <v>3733</v>
      </c>
      <c r="D4" s="63" t="n">
        <v>5769</v>
      </c>
      <c r="E4" s="63" t="n">
        <v>4869</v>
      </c>
      <c r="F4" s="63" t="n">
        <v>4639</v>
      </c>
      <c r="G4" s="63" t="n">
        <v>4068</v>
      </c>
      <c r="H4" s="64" t="n">
        <f aca="false">IF(OR(G4="",F4="",F4=0),"",(G4-F4)/F4)</f>
        <v>-0.123086872170726</v>
      </c>
      <c r="I4" s="68" t="n">
        <f aca="false">IF(COUNTA(B4:G4)=0,"",MAX(B4:G4))</f>
        <v>5769</v>
      </c>
    </row>
    <row r="5" customFormat="false" ht="15.75" hidden="false" customHeight="true" outlineLevel="0" collapsed="false">
      <c r="A5" s="67" t="s">
        <v>332</v>
      </c>
      <c r="B5" s="63" t="n">
        <v>1417</v>
      </c>
      <c r="C5" s="63" t="n">
        <v>4273</v>
      </c>
      <c r="D5" s="63" t="n">
        <v>5629</v>
      </c>
      <c r="E5" s="63" t="n">
        <v>4490</v>
      </c>
      <c r="F5" s="63" t="n">
        <v>5542</v>
      </c>
      <c r="G5" s="63" t="n">
        <v>4331</v>
      </c>
      <c r="H5" s="64" t="n">
        <f aca="false">IF(OR(G5="",F5="",F5=0),"",(G5-F5)/F5)</f>
        <v>-0.218513172140022</v>
      </c>
      <c r="I5" s="68" t="n">
        <f aca="false">IF(COUNTA(B5:G5)=0,"",MAX(B5:G5))</f>
        <v>5629</v>
      </c>
    </row>
    <row r="6" customFormat="false" ht="15.75" hidden="false" customHeight="true" outlineLevel="0" collapsed="false">
      <c r="A6" s="76" t="s">
        <v>333</v>
      </c>
      <c r="B6" s="63" t="n">
        <v>1616</v>
      </c>
      <c r="C6" s="63" t="n">
        <v>5158</v>
      </c>
      <c r="D6" s="63" t="n">
        <v>4465</v>
      </c>
      <c r="E6" s="63" t="n">
        <v>4506</v>
      </c>
      <c r="F6" s="63" t="n">
        <v>4616</v>
      </c>
      <c r="G6" s="63" t="n">
        <v>3641</v>
      </c>
      <c r="H6" s="64" t="n">
        <f aca="false">IF(OR(G6="",F6="",F6=0),"",(G6-F6)/F6)</f>
        <v>-0.211221837088388</v>
      </c>
      <c r="I6" s="68" t="n">
        <f aca="false">IF(COUNTA(B6:G6)=0,"",MAX(B6:G6))</f>
        <v>5158</v>
      </c>
    </row>
    <row r="7" customFormat="false" ht="15.75" hidden="false" customHeight="true" outlineLevel="0" collapsed="false">
      <c r="A7" s="67" t="s">
        <v>65</v>
      </c>
      <c r="B7" s="63" t="n">
        <v>2244</v>
      </c>
      <c r="C7" s="63" t="n">
        <v>9636</v>
      </c>
      <c r="D7" s="63" t="n">
        <v>3930</v>
      </c>
      <c r="E7" s="63" t="n">
        <v>4400</v>
      </c>
      <c r="F7" s="63" t="n">
        <v>4291</v>
      </c>
      <c r="G7" s="63" t="n">
        <v>4837</v>
      </c>
      <c r="H7" s="64" t="n">
        <f aca="false">IF(OR(G7="",F7="",F7=0),"",(G7-F7)/F7)</f>
        <v>0.127243066884176</v>
      </c>
      <c r="I7" s="68" t="n">
        <f aca="false">IF(COUNTA(B7:G7)=0,"",MAX(B7:G7))</f>
        <v>9636</v>
      </c>
    </row>
    <row r="8" customFormat="false" ht="15.75" hidden="false" customHeight="true" outlineLevel="0" collapsed="false">
      <c r="A8" s="76" t="s">
        <v>108</v>
      </c>
      <c r="B8" s="63" t="n">
        <v>1828</v>
      </c>
      <c r="C8" s="63" t="n">
        <v>4058</v>
      </c>
      <c r="D8" s="63" t="n">
        <v>3990</v>
      </c>
      <c r="E8" s="63" t="n">
        <v>4262</v>
      </c>
      <c r="F8" s="63" t="n">
        <v>5139</v>
      </c>
      <c r="G8" s="62"/>
      <c r="H8" s="64" t="str">
        <f aca="false">IF(OR(G8="",F8="",F8=0),"",(G8-F8)/F8)</f>
        <v/>
      </c>
      <c r="I8" s="68" t="n">
        <f aca="false">IF(COUNTA(B8:G8)=0,"",MAX(B8:G8))</f>
        <v>5139</v>
      </c>
    </row>
    <row r="9" customFormat="false" ht="15.75" hidden="false" customHeight="true" outlineLevel="0" collapsed="false">
      <c r="A9" s="67" t="s">
        <v>137</v>
      </c>
      <c r="B9" s="63" t="n">
        <v>1456</v>
      </c>
      <c r="C9" s="63" t="n">
        <v>4636</v>
      </c>
      <c r="D9" s="63" t="n">
        <v>3725</v>
      </c>
      <c r="E9" s="63" t="n">
        <v>4822</v>
      </c>
      <c r="F9" s="63" t="n">
        <v>5589</v>
      </c>
      <c r="G9" s="62"/>
      <c r="H9" s="64" t="str">
        <f aca="false">IF(OR(G9="",F9="",F9=0),"",(G9-F9)/F9)</f>
        <v/>
      </c>
      <c r="I9" s="68" t="n">
        <f aca="false">IF(COUNTA(B9:G9)=0,"",MAX(B9:G9))</f>
        <v>5589</v>
      </c>
    </row>
    <row r="10" customFormat="false" ht="15.75" hidden="false" customHeight="true" outlineLevel="0" collapsed="false">
      <c r="A10" s="76" t="s">
        <v>166</v>
      </c>
      <c r="B10" s="63" t="n">
        <v>1472</v>
      </c>
      <c r="C10" s="63" t="n">
        <v>4353</v>
      </c>
      <c r="D10" s="63" t="n">
        <v>4038</v>
      </c>
      <c r="E10" s="63" t="n">
        <v>5021</v>
      </c>
      <c r="F10" s="63" t="n">
        <v>5613</v>
      </c>
      <c r="G10" s="62"/>
      <c r="H10" s="64" t="str">
        <f aca="false">IF(OR(G10="",F10="",F10=0),"",(G10-F10)/F10)</f>
        <v/>
      </c>
      <c r="I10" s="68" t="n">
        <f aca="false">IF(COUNTA(B10:G10)=0,"",MAX(B10:G10))</f>
        <v>5613</v>
      </c>
    </row>
    <row r="11" customFormat="false" ht="15.75" hidden="false" customHeight="true" outlineLevel="0" collapsed="false">
      <c r="A11" s="67" t="s">
        <v>334</v>
      </c>
      <c r="B11" s="63" t="n">
        <v>1804</v>
      </c>
      <c r="C11" s="63" t="n">
        <v>5247</v>
      </c>
      <c r="D11" s="63" t="n">
        <v>5221</v>
      </c>
      <c r="E11" s="63" t="n">
        <v>5125</v>
      </c>
      <c r="F11" s="63" t="n">
        <v>5650</v>
      </c>
      <c r="G11" s="62"/>
      <c r="H11" s="64" t="str">
        <f aca="false">IF(OR(G11="",F11="",F11=0),"",(G11-F11)/F11)</f>
        <v/>
      </c>
      <c r="I11" s="68" t="n">
        <f aca="false">IF(COUNTA(B11:G11)=0,"",MAX(B11:G11))</f>
        <v>5650</v>
      </c>
    </row>
    <row r="12" customFormat="false" ht="15.75" hidden="false" customHeight="true" outlineLevel="0" collapsed="false">
      <c r="A12" s="76" t="s">
        <v>218</v>
      </c>
      <c r="B12" s="63" t="n">
        <v>2440</v>
      </c>
      <c r="C12" s="63" t="n">
        <v>5834</v>
      </c>
      <c r="D12" s="63" t="n">
        <v>4974</v>
      </c>
      <c r="E12" s="63" t="n">
        <v>5770</v>
      </c>
      <c r="F12" s="63" t="n">
        <v>5604</v>
      </c>
      <c r="G12" s="62"/>
      <c r="H12" s="64" t="str">
        <f aca="false">IF(OR(G12="",F12="",F12=0),"",(G12-F12)/F12)</f>
        <v/>
      </c>
      <c r="I12" s="68" t="n">
        <f aca="false">IF(COUNTA(B12:G12)=0,"",MAX(B12:G12))</f>
        <v>5834</v>
      </c>
    </row>
    <row r="13" customFormat="false" ht="15.75" hidden="false" customHeight="true" outlineLevel="0" collapsed="false">
      <c r="A13" s="67" t="s">
        <v>244</v>
      </c>
      <c r="B13" s="63" t="n">
        <v>1339</v>
      </c>
      <c r="C13" s="63" t="n">
        <v>6294</v>
      </c>
      <c r="D13" s="63" t="n">
        <v>4401</v>
      </c>
      <c r="E13" s="63" t="n">
        <v>5264</v>
      </c>
      <c r="F13" s="63" t="n">
        <v>5278</v>
      </c>
      <c r="G13" s="62"/>
      <c r="H13" s="64" t="str">
        <f aca="false">IF(OR(G13="",F13="",F13=0),"",(G13-F13)/F13)</f>
        <v/>
      </c>
      <c r="I13" s="68" t="n">
        <f aca="false">IF(COUNTA(B13:G13)=0,"",MAX(B13:G13))</f>
        <v>6294</v>
      </c>
    </row>
    <row r="14" customFormat="false" ht="15.75" hidden="false" customHeight="true" outlineLevel="0" collapsed="false">
      <c r="A14" s="76" t="s">
        <v>270</v>
      </c>
      <c r="B14" s="63" t="n">
        <v>5253</v>
      </c>
      <c r="C14" s="63" t="n">
        <v>6372</v>
      </c>
      <c r="D14" s="63" t="n">
        <v>4626</v>
      </c>
      <c r="E14" s="63" t="n">
        <v>5081</v>
      </c>
      <c r="F14" s="63" t="n">
        <v>5142</v>
      </c>
      <c r="G14" s="62"/>
      <c r="H14" s="64" t="str">
        <f aca="false">IF(OR(G14="",F14="",F14=0),"",(G14-F14)/F14)</f>
        <v/>
      </c>
      <c r="I14" s="68" t="n">
        <f aca="false">IF(COUNTA(B14:G14)=0,"",MAX(B14:G14))</f>
        <v>6372</v>
      </c>
    </row>
    <row r="15" customFormat="false" ht="18" hidden="false" customHeight="true" outlineLevel="0" collapsed="false">
      <c r="A15" s="77" t="s">
        <v>306</v>
      </c>
      <c r="B15" s="78" t="n">
        <f aca="false">SUM(B3:B14)</f>
        <v>22543</v>
      </c>
      <c r="C15" s="78" t="n">
        <f aca="false">SUM(C3:C14)</f>
        <v>64023</v>
      </c>
      <c r="D15" s="78" t="n">
        <f aca="false">SUM(D3:D14)</f>
        <v>57183</v>
      </c>
      <c r="E15" s="78" t="n">
        <f aca="false">SUM(E3:E14)</f>
        <v>58666</v>
      </c>
      <c r="F15" s="78" t="n">
        <f aca="false">SUM(F3:F14)</f>
        <v>62068</v>
      </c>
      <c r="G15" s="78" t="n">
        <f aca="false">SUM(G3:G14)</f>
        <v>21695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E7" activeCellId="0" sqref="E7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35"/>
  </cols>
  <sheetData>
    <row r="1" customFormat="false" ht="27.75" hidden="false" customHeight="true" outlineLevel="0" collapsed="false">
      <c r="A1" s="74" t="s">
        <v>347</v>
      </c>
      <c r="B1" s="74"/>
      <c r="C1" s="74"/>
      <c r="D1" s="74"/>
      <c r="E1" s="74"/>
      <c r="F1" s="74"/>
      <c r="G1" s="74"/>
    </row>
    <row r="2" customFormat="false" ht="31.5" hidden="false" customHeight="true" outlineLevel="0" collapsed="false">
      <c r="A2" s="75" t="s">
        <v>319</v>
      </c>
      <c r="B2" s="75" t="s">
        <v>53</v>
      </c>
      <c r="C2" s="75" t="s">
        <v>348</v>
      </c>
      <c r="D2" s="75" t="s">
        <v>349</v>
      </c>
      <c r="E2" s="75" t="s">
        <v>350</v>
      </c>
      <c r="F2" s="75" t="s">
        <v>351</v>
      </c>
      <c r="G2" s="75" t="s">
        <v>352</v>
      </c>
    </row>
    <row r="3" customFormat="false" ht="15.75" hidden="false" customHeight="true" outlineLevel="0" collapsed="false">
      <c r="A3" s="63" t="n">
        <v>2026</v>
      </c>
      <c r="B3" s="79" t="s">
        <v>330</v>
      </c>
      <c r="C3" s="63" t="n">
        <v>334</v>
      </c>
      <c r="D3" s="63" t="n">
        <v>5603</v>
      </c>
      <c r="E3" s="80" t="n">
        <v>6</v>
      </c>
      <c r="F3" s="63"/>
      <c r="G3" s="67"/>
    </row>
    <row r="4" customFormat="false" ht="15.75" hidden="false" customHeight="true" outlineLevel="0" collapsed="false">
      <c r="A4" s="63" t="n">
        <v>2026</v>
      </c>
      <c r="B4" s="79" t="s">
        <v>331</v>
      </c>
      <c r="C4" s="63" t="n">
        <v>266</v>
      </c>
      <c r="D4" s="63" t="n">
        <v>5483</v>
      </c>
      <c r="E4" s="80" t="n">
        <v>4.9</v>
      </c>
      <c r="F4" s="63"/>
      <c r="G4" s="76"/>
    </row>
    <row r="5" customFormat="false" ht="15.75" hidden="false" customHeight="true" outlineLevel="0" collapsed="false">
      <c r="A5" s="63" t="n">
        <v>2026</v>
      </c>
      <c r="B5" s="79" t="s">
        <v>332</v>
      </c>
      <c r="C5" s="63" t="n">
        <v>385</v>
      </c>
      <c r="D5" s="63" t="n">
        <v>7098</v>
      </c>
      <c r="E5" s="80" t="n">
        <v>5.1</v>
      </c>
      <c r="F5" s="63"/>
      <c r="G5" s="67"/>
    </row>
    <row r="6" customFormat="false" ht="15.75" hidden="false" customHeight="true" outlineLevel="0" collapsed="false">
      <c r="A6" s="63" t="n">
        <v>2026</v>
      </c>
      <c r="B6" s="79" t="s">
        <v>333</v>
      </c>
      <c r="C6" s="63" t="n">
        <v>393</v>
      </c>
      <c r="D6" s="63" t="n">
        <v>7755</v>
      </c>
      <c r="E6" s="80" t="n">
        <v>5.1</v>
      </c>
      <c r="F6" s="63" t="n">
        <v>1.47</v>
      </c>
      <c r="G6" s="76" t="s">
        <v>353</v>
      </c>
    </row>
    <row r="7" customFormat="false" ht="15.75" hidden="false" customHeight="true" outlineLevel="0" collapsed="false">
      <c r="A7" s="63" t="n">
        <v>2026</v>
      </c>
      <c r="B7" s="79" t="s">
        <v>65</v>
      </c>
      <c r="C7" s="63" t="n">
        <v>449</v>
      </c>
      <c r="D7" s="63" t="n">
        <v>5961</v>
      </c>
      <c r="E7" s="80" t="n">
        <f aca="false">C7/D7</f>
        <v>0.0753229323938936</v>
      </c>
      <c r="F7" s="63"/>
      <c r="G7" s="66"/>
    </row>
    <row r="8" customFormat="false" ht="15.75" hidden="false" customHeight="true" outlineLevel="0" collapsed="false">
      <c r="A8" s="63" t="n">
        <v>2026</v>
      </c>
      <c r="B8" s="79" t="s">
        <v>108</v>
      </c>
      <c r="C8" s="63"/>
      <c r="D8" s="63"/>
      <c r="E8" s="63"/>
      <c r="F8" s="63"/>
      <c r="G8" s="66"/>
    </row>
    <row r="9" customFormat="false" ht="15.75" hidden="false" customHeight="true" outlineLevel="0" collapsed="false">
      <c r="A9" s="63" t="n">
        <v>2026</v>
      </c>
      <c r="B9" s="79" t="s">
        <v>137</v>
      </c>
      <c r="C9" s="63"/>
      <c r="D9" s="63"/>
      <c r="E9" s="63"/>
      <c r="F9" s="63"/>
      <c r="G9" s="66"/>
    </row>
    <row r="10" customFormat="false" ht="15.75" hidden="false" customHeight="true" outlineLevel="0" collapsed="false">
      <c r="A10" s="63" t="n">
        <v>2026</v>
      </c>
      <c r="B10" s="79" t="s">
        <v>166</v>
      </c>
      <c r="C10" s="63"/>
      <c r="D10" s="63"/>
      <c r="E10" s="63"/>
      <c r="F10" s="63"/>
      <c r="G10" s="66"/>
    </row>
    <row r="11" customFormat="false" ht="15.75" hidden="false" customHeight="true" outlineLevel="0" collapsed="false">
      <c r="A11" s="63" t="n">
        <v>2026</v>
      </c>
      <c r="B11" s="79" t="s">
        <v>334</v>
      </c>
      <c r="C11" s="63"/>
      <c r="D11" s="63"/>
      <c r="E11" s="63"/>
      <c r="F11" s="63"/>
      <c r="G11" s="66"/>
    </row>
    <row r="12" customFormat="false" ht="15.75" hidden="false" customHeight="true" outlineLevel="0" collapsed="false">
      <c r="A12" s="63" t="n">
        <v>2026</v>
      </c>
      <c r="B12" s="79" t="s">
        <v>218</v>
      </c>
      <c r="C12" s="63"/>
      <c r="D12" s="63"/>
      <c r="E12" s="63"/>
      <c r="F12" s="63"/>
      <c r="G12" s="66"/>
    </row>
    <row r="13" customFormat="false" ht="15.75" hidden="false" customHeight="true" outlineLevel="0" collapsed="false">
      <c r="A13" s="63" t="n">
        <v>2026</v>
      </c>
      <c r="B13" s="79" t="s">
        <v>244</v>
      </c>
      <c r="C13" s="63"/>
      <c r="D13" s="63"/>
      <c r="E13" s="63"/>
      <c r="F13" s="63"/>
      <c r="G13" s="66"/>
    </row>
    <row r="14" customFormat="false" ht="15.75" hidden="false" customHeight="true" outlineLevel="0" collapsed="false">
      <c r="A14" s="63" t="n">
        <v>2026</v>
      </c>
      <c r="B14" s="79" t="s">
        <v>270</v>
      </c>
      <c r="C14" s="63"/>
      <c r="D14" s="63"/>
      <c r="E14" s="63"/>
      <c r="F14" s="63"/>
      <c r="G14" s="66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C7" activeCellId="0" sqref="C7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7"/>
    <col collapsed="false" customWidth="true" hidden="false" outlineLevel="0" max="4" min="2" style="0" width="13"/>
    <col collapsed="false" customWidth="true" hidden="false" outlineLevel="0" max="10" min="5" style="0" width="12"/>
    <col collapsed="false" customWidth="true" hidden="false" outlineLevel="0" max="11" min="11" style="0" width="14"/>
  </cols>
  <sheetData>
    <row r="1" customFormat="false" ht="27.75" hidden="false" customHeight="true" outlineLevel="0" collapsed="false">
      <c r="A1" s="74" t="s">
        <v>354</v>
      </c>
      <c r="B1" s="74"/>
      <c r="C1" s="74"/>
      <c r="D1" s="74"/>
      <c r="E1" s="74"/>
      <c r="F1" s="74"/>
      <c r="G1" s="74"/>
      <c r="H1" s="74"/>
      <c r="I1" s="74"/>
      <c r="J1" s="74"/>
    </row>
    <row r="2" customFormat="false" ht="36" hidden="false" customHeight="true" outlineLevel="0" collapsed="false">
      <c r="A2" s="75" t="s">
        <v>319</v>
      </c>
      <c r="B2" s="75" t="s">
        <v>53</v>
      </c>
      <c r="C2" s="75" t="s">
        <v>355</v>
      </c>
      <c r="D2" s="75" t="s">
        <v>356</v>
      </c>
      <c r="E2" s="75" t="s">
        <v>357</v>
      </c>
      <c r="F2" s="75" t="s">
        <v>358</v>
      </c>
      <c r="G2" s="75" t="s">
        <v>359</v>
      </c>
      <c r="H2" s="75" t="s">
        <v>360</v>
      </c>
      <c r="I2" s="75" t="s">
        <v>361</v>
      </c>
      <c r="J2" s="75" t="s">
        <v>362</v>
      </c>
      <c r="K2" s="81" t="s">
        <v>363</v>
      </c>
    </row>
    <row r="3" customFormat="false" ht="15.75" hidden="false" customHeight="true" outlineLevel="0" collapsed="false">
      <c r="A3" s="82" t="n">
        <v>2026</v>
      </c>
      <c r="B3" s="83" t="s">
        <v>330</v>
      </c>
      <c r="C3" s="84" t="n">
        <v>722</v>
      </c>
      <c r="D3" s="84" t="n">
        <v>677</v>
      </c>
      <c r="E3" s="84"/>
      <c r="F3" s="85" t="n">
        <f aca="false">IF(AND(C3&lt;&gt;"",D3&lt;&gt;""),D3/C3,"")</f>
        <v>0.937673130193906</v>
      </c>
      <c r="G3" s="84"/>
      <c r="H3" s="84"/>
      <c r="I3" s="84"/>
      <c r="J3" s="86" t="str">
        <f aca="false">IF(AND(K3&lt;&gt;"",C3&lt;&gt;""),K3/C3*100,"")</f>
        <v/>
      </c>
      <c r="K3" s="87"/>
    </row>
    <row r="4" customFormat="false" ht="15.75" hidden="false" customHeight="true" outlineLevel="0" collapsed="false">
      <c r="A4" s="88" t="n">
        <v>2026</v>
      </c>
      <c r="B4" s="89" t="s">
        <v>331</v>
      </c>
      <c r="C4" s="84" t="n">
        <v>559</v>
      </c>
      <c r="D4" s="84" t="n">
        <v>519</v>
      </c>
      <c r="E4" s="84"/>
      <c r="F4" s="85" t="n">
        <f aca="false">IF(AND(C4&lt;&gt;"",D4&lt;&gt;""),D4/C4,"")</f>
        <v>0.928443649373882</v>
      </c>
      <c r="G4" s="84"/>
      <c r="H4" s="84"/>
      <c r="I4" s="84"/>
      <c r="J4" s="86" t="str">
        <f aca="false">IF(AND(K4&lt;&gt;"",C4&lt;&gt;""),K4/C4*100,"")</f>
        <v/>
      </c>
      <c r="K4" s="87"/>
    </row>
    <row r="5" customFormat="false" ht="15.75" hidden="false" customHeight="true" outlineLevel="0" collapsed="false">
      <c r="A5" s="82" t="n">
        <v>2026</v>
      </c>
      <c r="B5" s="83" t="s">
        <v>332</v>
      </c>
      <c r="C5" s="84" t="n">
        <v>604</v>
      </c>
      <c r="D5" s="84" t="n">
        <v>571</v>
      </c>
      <c r="E5" s="84"/>
      <c r="F5" s="85" t="n">
        <f aca="false">IF(AND(C5&lt;&gt;"",D5&lt;&gt;""),D5/C5,"")</f>
        <v>0.945364238410596</v>
      </c>
      <c r="G5" s="84"/>
      <c r="H5" s="84"/>
      <c r="I5" s="84"/>
      <c r="J5" s="86" t="str">
        <f aca="false">IF(AND(K5&lt;&gt;"",C5&lt;&gt;""),K5/C5*100,"")</f>
        <v/>
      </c>
      <c r="K5" s="87"/>
    </row>
    <row r="6" customFormat="false" ht="15.75" hidden="false" customHeight="true" outlineLevel="0" collapsed="false">
      <c r="A6" s="88" t="n">
        <v>2026</v>
      </c>
      <c r="B6" s="89" t="s">
        <v>333</v>
      </c>
      <c r="C6" s="84" t="n">
        <v>547</v>
      </c>
      <c r="D6" s="84" t="n">
        <v>521</v>
      </c>
      <c r="E6" s="84" t="n">
        <v>109</v>
      </c>
      <c r="F6" s="85" t="n">
        <f aca="false">IF(AND(C6&lt;&gt;"",D6&lt;&gt;""),D6/C6,"")</f>
        <v>0.952468007312614</v>
      </c>
      <c r="G6" s="84" t="n">
        <v>40</v>
      </c>
      <c r="H6" s="84" t="n">
        <v>0.71</v>
      </c>
      <c r="I6" s="84" t="n">
        <v>4210</v>
      </c>
      <c r="J6" s="86" t="n">
        <f aca="false">IF(AND(K6&lt;&gt;"",C6&lt;&gt;""),K6/C6*100,"")</f>
        <v>69.1042047531993</v>
      </c>
      <c r="K6" s="87" t="n">
        <v>378</v>
      </c>
    </row>
    <row r="7" customFormat="false" ht="15.75" hidden="false" customHeight="true" outlineLevel="0" collapsed="false">
      <c r="A7" s="90" t="n">
        <v>2026</v>
      </c>
      <c r="B7" s="91" t="s">
        <v>65</v>
      </c>
      <c r="C7" s="84" t="n">
        <v>683</v>
      </c>
      <c r="D7" s="84" t="n">
        <v>641</v>
      </c>
      <c r="E7" s="84"/>
      <c r="F7" s="85" t="n">
        <f aca="false">IF(AND(C7&lt;&gt;"",D7&lt;&gt;""),D7/C7,"")</f>
        <v>0.938506588579795</v>
      </c>
      <c r="G7" s="84"/>
      <c r="H7" s="84"/>
      <c r="I7" s="84"/>
      <c r="J7" s="86" t="str">
        <f aca="false">IF(AND(K7&lt;&gt;"",C7&lt;&gt;""),K7/C7*100,"")</f>
        <v/>
      </c>
      <c r="K7" s="87"/>
    </row>
    <row r="8" customFormat="false" ht="15.75" hidden="false" customHeight="true" outlineLevel="0" collapsed="false">
      <c r="A8" s="90" t="n">
        <v>2026</v>
      </c>
      <c r="B8" s="91" t="s">
        <v>108</v>
      </c>
      <c r="C8" s="84"/>
      <c r="D8" s="84"/>
      <c r="E8" s="84"/>
      <c r="F8" s="85" t="str">
        <f aca="false">IF(AND(C8&lt;&gt;"",D8&lt;&gt;""),D8/C8,"")</f>
        <v/>
      </c>
      <c r="G8" s="84"/>
      <c r="H8" s="84"/>
      <c r="I8" s="84"/>
      <c r="J8" s="86" t="str">
        <f aca="false">IF(AND(K8&lt;&gt;"",C8&lt;&gt;""),K8/C8*100,"")</f>
        <v/>
      </c>
      <c r="K8" s="87"/>
    </row>
    <row r="9" customFormat="false" ht="15.75" hidden="false" customHeight="true" outlineLevel="0" collapsed="false">
      <c r="A9" s="90" t="n">
        <v>2026</v>
      </c>
      <c r="B9" s="91" t="s">
        <v>137</v>
      </c>
      <c r="C9" s="84"/>
      <c r="D9" s="84"/>
      <c r="E9" s="84"/>
      <c r="F9" s="85" t="str">
        <f aca="false">IF(AND(C9&lt;&gt;"",D9&lt;&gt;""),D9/C9,"")</f>
        <v/>
      </c>
      <c r="G9" s="84"/>
      <c r="H9" s="84"/>
      <c r="I9" s="84"/>
      <c r="J9" s="86" t="str">
        <f aca="false">IF(AND(K9&lt;&gt;"",C9&lt;&gt;""),K9/C9*100,"")</f>
        <v/>
      </c>
      <c r="K9" s="87"/>
    </row>
    <row r="10" customFormat="false" ht="15.75" hidden="false" customHeight="true" outlineLevel="0" collapsed="false">
      <c r="A10" s="90" t="n">
        <v>2026</v>
      </c>
      <c r="B10" s="91" t="s">
        <v>166</v>
      </c>
      <c r="C10" s="84"/>
      <c r="D10" s="84"/>
      <c r="E10" s="84"/>
      <c r="F10" s="85" t="str">
        <f aca="false">IF(AND(C10&lt;&gt;"",D10&lt;&gt;""),D10/C10,"")</f>
        <v/>
      </c>
      <c r="G10" s="84"/>
      <c r="H10" s="84"/>
      <c r="I10" s="84"/>
      <c r="J10" s="86" t="str">
        <f aca="false">IF(AND(K10&lt;&gt;"",C10&lt;&gt;""),K10/C10*100,"")</f>
        <v/>
      </c>
      <c r="K10" s="87"/>
    </row>
    <row r="11" customFormat="false" ht="15.75" hidden="false" customHeight="true" outlineLevel="0" collapsed="false">
      <c r="A11" s="90" t="n">
        <v>2026</v>
      </c>
      <c r="B11" s="91" t="s">
        <v>334</v>
      </c>
      <c r="C11" s="84"/>
      <c r="D11" s="84"/>
      <c r="E11" s="84"/>
      <c r="F11" s="85" t="str">
        <f aca="false">IF(AND(C11&lt;&gt;"",D11&lt;&gt;""),D11/C11,"")</f>
        <v/>
      </c>
      <c r="G11" s="84"/>
      <c r="H11" s="84"/>
      <c r="I11" s="84"/>
      <c r="J11" s="86" t="str">
        <f aca="false">IF(AND(K11&lt;&gt;"",C11&lt;&gt;""),K11/C11*100,"")</f>
        <v/>
      </c>
      <c r="K11" s="87"/>
    </row>
    <row r="12" customFormat="false" ht="15.75" hidden="false" customHeight="true" outlineLevel="0" collapsed="false">
      <c r="A12" s="90" t="n">
        <v>2026</v>
      </c>
      <c r="B12" s="91" t="s">
        <v>218</v>
      </c>
      <c r="C12" s="84"/>
      <c r="D12" s="84"/>
      <c r="E12" s="84"/>
      <c r="F12" s="85" t="str">
        <f aca="false">IF(AND(C12&lt;&gt;"",D12&lt;&gt;""),D12/C12,"")</f>
        <v/>
      </c>
      <c r="G12" s="84"/>
      <c r="H12" s="84"/>
      <c r="I12" s="84"/>
      <c r="J12" s="86" t="str">
        <f aca="false">IF(AND(K12&lt;&gt;"",C12&lt;&gt;""),K12/C12*100,"")</f>
        <v/>
      </c>
      <c r="K12" s="87"/>
    </row>
    <row r="13" customFormat="false" ht="15.75" hidden="false" customHeight="true" outlineLevel="0" collapsed="false">
      <c r="A13" s="90" t="n">
        <v>2026</v>
      </c>
      <c r="B13" s="91" t="s">
        <v>244</v>
      </c>
      <c r="C13" s="84"/>
      <c r="D13" s="84"/>
      <c r="E13" s="84"/>
      <c r="F13" s="85" t="str">
        <f aca="false">IF(AND(C13&lt;&gt;"",D13&lt;&gt;""),D13/C13,"")</f>
        <v/>
      </c>
      <c r="G13" s="84"/>
      <c r="H13" s="84"/>
      <c r="I13" s="84"/>
      <c r="J13" s="86" t="str">
        <f aca="false">IF(AND(K13&lt;&gt;"",C13&lt;&gt;""),K13/C13*100,"")</f>
        <v/>
      </c>
      <c r="K13" s="87"/>
    </row>
    <row r="14" customFormat="false" ht="15.75" hidden="false" customHeight="true" outlineLevel="0" collapsed="false">
      <c r="A14" s="90" t="n">
        <v>2026</v>
      </c>
      <c r="B14" s="91" t="s">
        <v>270</v>
      </c>
      <c r="C14" s="84"/>
      <c r="D14" s="84"/>
      <c r="E14" s="84"/>
      <c r="F14" s="85" t="str">
        <f aca="false">IF(AND(C14&lt;&gt;"",D14&lt;&gt;""),D14/C14,"")</f>
        <v/>
      </c>
      <c r="G14" s="84"/>
      <c r="H14" s="84"/>
      <c r="I14" s="84"/>
      <c r="J14" s="86" t="str">
        <f aca="false">IF(AND(K14&lt;&gt;"",C14&lt;&gt;""),K14/C14*100,"")</f>
        <v/>
      </c>
      <c r="K14" s="87"/>
    </row>
    <row r="15" customFormat="false" ht="14.25" hidden="false" customHeight="false" outlineLevel="0" collapsed="false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</row>
    <row r="16" customFormat="false" ht="21.75" hidden="false" customHeight="true" outlineLevel="0" collapsed="false">
      <c r="A16" s="93" t="s">
        <v>364</v>
      </c>
      <c r="B16" s="93"/>
      <c r="C16" s="93"/>
      <c r="D16" s="93"/>
      <c r="E16" s="93"/>
      <c r="F16" s="93"/>
      <c r="G16" s="93"/>
      <c r="H16" s="93"/>
      <c r="I16" s="93"/>
      <c r="J16" s="93"/>
      <c r="K16" s="93"/>
    </row>
    <row r="17" customFormat="false" ht="36" hidden="false" customHeight="true" outlineLevel="0" collapsed="false">
      <c r="A17" s="94" t="s">
        <v>319</v>
      </c>
      <c r="B17" s="94" t="s">
        <v>53</v>
      </c>
      <c r="C17" s="94" t="s">
        <v>365</v>
      </c>
      <c r="D17" s="94" t="s">
        <v>366</v>
      </c>
      <c r="E17" s="94" t="s">
        <v>367</v>
      </c>
      <c r="F17" s="94" t="s">
        <v>368</v>
      </c>
      <c r="G17" s="94" t="s">
        <v>369</v>
      </c>
      <c r="H17" s="94" t="s">
        <v>370</v>
      </c>
      <c r="I17" s="94" t="s">
        <v>371</v>
      </c>
      <c r="J17" s="94" t="s">
        <v>372</v>
      </c>
      <c r="K17" s="94" t="s">
        <v>373</v>
      </c>
    </row>
    <row r="18" customFormat="false" ht="14.25" hidden="false" customHeight="false" outlineLevel="0" collapsed="false">
      <c r="A18" s="95" t="n">
        <v>2026</v>
      </c>
      <c r="B18" s="96" t="s">
        <v>330</v>
      </c>
      <c r="C18" s="87"/>
      <c r="D18" s="87"/>
      <c r="E18" s="87"/>
      <c r="F18" s="87"/>
      <c r="G18" s="87"/>
      <c r="H18" s="87"/>
      <c r="I18" s="87"/>
      <c r="J18" s="87"/>
      <c r="K18" s="97" t="str">
        <f aca="false">IF(AND(C3&lt;&gt;"",OR(D18&lt;&gt;"",F18&lt;&gt;"")), (IF(D18&lt;&gt;"",D18,0)+IF(F18&lt;&gt;"",F18,0))/C3*100,"")</f>
        <v/>
      </c>
    </row>
    <row r="19" customFormat="false" ht="14.25" hidden="false" customHeight="false" outlineLevel="0" collapsed="false">
      <c r="A19" s="95" t="n">
        <v>2026</v>
      </c>
      <c r="B19" s="96" t="s">
        <v>331</v>
      </c>
      <c r="C19" s="87"/>
      <c r="D19" s="87"/>
      <c r="E19" s="87"/>
      <c r="F19" s="87"/>
      <c r="G19" s="87"/>
      <c r="H19" s="87"/>
      <c r="I19" s="87"/>
      <c r="J19" s="87"/>
      <c r="K19" s="97" t="str">
        <f aca="false">IF(AND(C4&lt;&gt;"",OR(D19&lt;&gt;"",F19&lt;&gt;"")), (IF(D19&lt;&gt;"",D19,0)+IF(F19&lt;&gt;"",F19,0))/C4*100,"")</f>
        <v/>
      </c>
    </row>
    <row r="20" customFormat="false" ht="14.25" hidden="false" customHeight="false" outlineLevel="0" collapsed="false">
      <c r="A20" s="95" t="n">
        <v>2026</v>
      </c>
      <c r="B20" s="96" t="s">
        <v>332</v>
      </c>
      <c r="C20" s="87"/>
      <c r="D20" s="87"/>
      <c r="E20" s="87"/>
      <c r="F20" s="87"/>
      <c r="G20" s="87"/>
      <c r="H20" s="87"/>
      <c r="I20" s="87"/>
      <c r="J20" s="87"/>
      <c r="K20" s="97" t="str">
        <f aca="false">IF(AND(C5&lt;&gt;"",OR(D20&lt;&gt;"",F20&lt;&gt;"")), (IF(D20&lt;&gt;"",D20,0)+IF(F20&lt;&gt;"",F20,0))/C5*100,"")</f>
        <v/>
      </c>
    </row>
    <row r="21" customFormat="false" ht="14.25" hidden="false" customHeight="false" outlineLevel="0" collapsed="false">
      <c r="A21" s="95" t="n">
        <v>2026</v>
      </c>
      <c r="B21" s="96" t="s">
        <v>333</v>
      </c>
      <c r="C21" s="87"/>
      <c r="D21" s="87"/>
      <c r="E21" s="87"/>
      <c r="F21" s="87"/>
      <c r="G21" s="87"/>
      <c r="H21" s="87"/>
      <c r="I21" s="87"/>
      <c r="J21" s="87"/>
      <c r="K21" s="97" t="str">
        <f aca="false">IF(AND(C6&lt;&gt;"",OR(D21&lt;&gt;"",F21&lt;&gt;"")), (IF(D21&lt;&gt;"",D21,0)+IF(F21&lt;&gt;"",F21,0))/C6*100,"")</f>
        <v/>
      </c>
    </row>
    <row r="22" customFormat="false" ht="14.25" hidden="false" customHeight="false" outlineLevel="0" collapsed="false">
      <c r="A22" s="95" t="n">
        <v>2026</v>
      </c>
      <c r="B22" s="96" t="s">
        <v>65</v>
      </c>
      <c r="C22" s="87"/>
      <c r="D22" s="87"/>
      <c r="E22" s="87"/>
      <c r="F22" s="87"/>
      <c r="G22" s="87"/>
      <c r="H22" s="87"/>
      <c r="I22" s="87"/>
      <c r="J22" s="87"/>
      <c r="K22" s="97" t="str">
        <f aca="false">IF(AND(C7&lt;&gt;"",OR(D22&lt;&gt;"",F22&lt;&gt;"")), (IF(D22&lt;&gt;"",D22,0)+IF(F22&lt;&gt;"",F22,0))/C7*100,"")</f>
        <v/>
      </c>
    </row>
    <row r="23" customFormat="false" ht="14.25" hidden="false" customHeight="false" outlineLevel="0" collapsed="false">
      <c r="A23" s="95" t="n">
        <v>2026</v>
      </c>
      <c r="B23" s="96" t="s">
        <v>108</v>
      </c>
      <c r="C23" s="87"/>
      <c r="D23" s="87"/>
      <c r="E23" s="87"/>
      <c r="F23" s="87"/>
      <c r="G23" s="87"/>
      <c r="H23" s="87"/>
      <c r="I23" s="87"/>
      <c r="J23" s="87"/>
      <c r="K23" s="97" t="str">
        <f aca="false">IF(AND(C8&lt;&gt;"",OR(D23&lt;&gt;"",F23&lt;&gt;"")), (IF(D23&lt;&gt;"",D23,0)+IF(F23&lt;&gt;"",F23,0))/C8*100,"")</f>
        <v/>
      </c>
    </row>
    <row r="24" customFormat="false" ht="14.25" hidden="false" customHeight="false" outlineLevel="0" collapsed="false">
      <c r="A24" s="95" t="n">
        <v>2026</v>
      </c>
      <c r="B24" s="96" t="s">
        <v>137</v>
      </c>
      <c r="C24" s="87"/>
      <c r="D24" s="87"/>
      <c r="E24" s="87"/>
      <c r="F24" s="87"/>
      <c r="G24" s="87"/>
      <c r="H24" s="87"/>
      <c r="I24" s="87"/>
      <c r="J24" s="87"/>
      <c r="K24" s="97" t="str">
        <f aca="false">IF(AND(C9&lt;&gt;"",OR(D24&lt;&gt;"",F24&lt;&gt;"")), (IF(D24&lt;&gt;"",D24,0)+IF(F24&lt;&gt;"",F24,0))/C9*100,"")</f>
        <v/>
      </c>
    </row>
    <row r="25" customFormat="false" ht="14.25" hidden="false" customHeight="false" outlineLevel="0" collapsed="false">
      <c r="A25" s="95" t="n">
        <v>2026</v>
      </c>
      <c r="B25" s="96" t="s">
        <v>166</v>
      </c>
      <c r="C25" s="87"/>
      <c r="D25" s="87"/>
      <c r="E25" s="87"/>
      <c r="F25" s="87"/>
      <c r="G25" s="87"/>
      <c r="H25" s="87"/>
      <c r="I25" s="87"/>
      <c r="J25" s="87"/>
      <c r="K25" s="97" t="str">
        <f aca="false">IF(AND(C10&lt;&gt;"",OR(D25&lt;&gt;"",F25&lt;&gt;"")), (IF(D25&lt;&gt;"",D25,0)+IF(F25&lt;&gt;"",F25,0))/C10*100,"")</f>
        <v/>
      </c>
    </row>
    <row r="26" customFormat="false" ht="14.25" hidden="false" customHeight="false" outlineLevel="0" collapsed="false">
      <c r="A26" s="95" t="n">
        <v>2026</v>
      </c>
      <c r="B26" s="96" t="s">
        <v>334</v>
      </c>
      <c r="C26" s="87"/>
      <c r="D26" s="87"/>
      <c r="E26" s="87"/>
      <c r="F26" s="87"/>
      <c r="G26" s="87"/>
      <c r="H26" s="87"/>
      <c r="I26" s="87"/>
      <c r="J26" s="87"/>
      <c r="K26" s="97" t="str">
        <f aca="false">IF(AND(C11&lt;&gt;"",OR(D26&lt;&gt;"",F26&lt;&gt;"")), (IF(D26&lt;&gt;"",D26,0)+IF(F26&lt;&gt;"",F26,0))/C11*100,"")</f>
        <v/>
      </c>
    </row>
    <row r="27" customFormat="false" ht="14.25" hidden="false" customHeight="false" outlineLevel="0" collapsed="false">
      <c r="A27" s="95" t="n">
        <v>2026</v>
      </c>
      <c r="B27" s="96" t="s">
        <v>218</v>
      </c>
      <c r="C27" s="87"/>
      <c r="D27" s="87"/>
      <c r="E27" s="87"/>
      <c r="F27" s="87"/>
      <c r="G27" s="87"/>
      <c r="H27" s="87"/>
      <c r="I27" s="87"/>
      <c r="J27" s="87"/>
      <c r="K27" s="97" t="str">
        <f aca="false">IF(AND(C12&lt;&gt;"",OR(D27&lt;&gt;"",F27&lt;&gt;"")), (IF(D27&lt;&gt;"",D27,0)+IF(F27&lt;&gt;"",F27,0))/C12*100,"")</f>
        <v/>
      </c>
    </row>
    <row r="28" customFormat="false" ht="14.25" hidden="false" customHeight="false" outlineLevel="0" collapsed="false">
      <c r="A28" s="95" t="n">
        <v>2026</v>
      </c>
      <c r="B28" s="96" t="s">
        <v>244</v>
      </c>
      <c r="C28" s="87"/>
      <c r="D28" s="87"/>
      <c r="E28" s="87"/>
      <c r="F28" s="87"/>
      <c r="G28" s="87"/>
      <c r="H28" s="87"/>
      <c r="I28" s="87"/>
      <c r="J28" s="87"/>
      <c r="K28" s="97" t="str">
        <f aca="false">IF(AND(C13&lt;&gt;"",OR(D28&lt;&gt;"",F28&lt;&gt;"")), (IF(D28&lt;&gt;"",D28,0)+IF(F28&lt;&gt;"",F28,0))/C13*100,"")</f>
        <v/>
      </c>
    </row>
    <row r="29" customFormat="false" ht="14.25" hidden="false" customHeight="false" outlineLevel="0" collapsed="false">
      <c r="A29" s="95" t="n">
        <v>2026</v>
      </c>
      <c r="B29" s="96" t="s">
        <v>270</v>
      </c>
      <c r="C29" s="87"/>
      <c r="D29" s="87"/>
      <c r="E29" s="87"/>
      <c r="F29" s="87"/>
      <c r="G29" s="87"/>
      <c r="H29" s="87"/>
      <c r="I29" s="87"/>
      <c r="J29" s="87"/>
      <c r="K29" s="97" t="str">
        <f aca="false">IF(AND(C14&lt;&gt;"",OR(D29&lt;&gt;"",F29&lt;&gt;"")), (IF(D29&lt;&gt;"",D29,0)+IF(F29&lt;&gt;"",F29,0))/C14*100,"")</f>
        <v/>
      </c>
    </row>
  </sheetData>
  <mergeCells count="2">
    <mergeCell ref="A1:J1"/>
    <mergeCell ref="A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15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1349" activePane="bottomRight" state="frozen"/>
      <selection pane="topLeft" activeCell="A1" activeCellId="0" sqref="A1"/>
      <selection pane="topRight" activeCell="C1" activeCellId="0" sqref="C1"/>
      <selection pane="bottomLeft" activeCell="A1349" activeCellId="0" sqref="A1349"/>
      <selection pane="bottomRight" activeCell="C1349" activeCellId="0" sqref="C1349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98" t="s">
        <v>374</v>
      </c>
      <c r="B1" s="98"/>
      <c r="C1" s="98"/>
      <c r="D1" s="98"/>
      <c r="E1" s="98"/>
      <c r="F1" s="98"/>
      <c r="G1" s="98"/>
    </row>
    <row r="2" customFormat="false" ht="15.75" hidden="false" customHeight="true" outlineLevel="0" collapsed="false">
      <c r="A2" s="99" t="s">
        <v>375</v>
      </c>
      <c r="B2" s="99"/>
      <c r="C2" s="99"/>
      <c r="D2" s="99"/>
      <c r="E2" s="99"/>
      <c r="F2" s="99"/>
      <c r="G2" s="99"/>
    </row>
    <row r="3" customFormat="false" ht="21.75" hidden="false" customHeight="true" outlineLevel="0" collapsed="false">
      <c r="A3" s="100" t="s">
        <v>319</v>
      </c>
      <c r="B3" s="100" t="s">
        <v>53</v>
      </c>
      <c r="C3" s="100" t="s">
        <v>376</v>
      </c>
      <c r="D3" s="100" t="s">
        <v>377</v>
      </c>
      <c r="E3" s="100" t="s">
        <v>321</v>
      </c>
      <c r="F3" s="100" t="s">
        <v>378</v>
      </c>
      <c r="G3" s="100" t="s">
        <v>379</v>
      </c>
    </row>
    <row r="4" customFormat="false" ht="15.75" hidden="true" customHeight="true" outlineLevel="0" collapsed="false">
      <c r="A4" s="99" t="s">
        <v>380</v>
      </c>
      <c r="B4" s="99"/>
      <c r="C4" s="99"/>
      <c r="D4" s="99"/>
      <c r="E4" s="99"/>
      <c r="F4" s="99"/>
      <c r="G4" s="99"/>
    </row>
    <row r="5" customFormat="false" ht="15.75" hidden="true" customHeight="true" outlineLevel="0" collapsed="false">
      <c r="A5" s="63" t="n">
        <v>2021</v>
      </c>
      <c r="B5" s="79" t="s">
        <v>330</v>
      </c>
      <c r="C5" s="79"/>
      <c r="D5" s="63"/>
      <c r="E5" s="63"/>
      <c r="F5" s="63"/>
      <c r="G5" s="63"/>
    </row>
    <row r="6" customFormat="false" ht="15.75" hidden="true" customHeight="true" outlineLevel="0" collapsed="false">
      <c r="A6" s="63" t="n">
        <v>2021</v>
      </c>
      <c r="B6" s="79" t="s">
        <v>330</v>
      </c>
      <c r="C6" s="79"/>
      <c r="D6" s="63"/>
      <c r="E6" s="63"/>
      <c r="F6" s="63"/>
      <c r="G6" s="63"/>
    </row>
    <row r="7" customFormat="false" ht="15.75" hidden="true" customHeight="true" outlineLevel="0" collapsed="false">
      <c r="A7" s="63" t="n">
        <v>2021</v>
      </c>
      <c r="B7" s="79" t="s">
        <v>330</v>
      </c>
      <c r="C7" s="79"/>
      <c r="D7" s="63"/>
      <c r="E7" s="63"/>
      <c r="F7" s="63"/>
      <c r="G7" s="63"/>
    </row>
    <row r="8" customFormat="false" ht="15.75" hidden="true" customHeight="true" outlineLevel="0" collapsed="false">
      <c r="A8" s="63" t="n">
        <v>2021</v>
      </c>
      <c r="B8" s="79" t="s">
        <v>330</v>
      </c>
      <c r="C8" s="79"/>
      <c r="D8" s="63"/>
      <c r="E8" s="63"/>
      <c r="F8" s="63"/>
      <c r="G8" s="63"/>
    </row>
    <row r="9" customFormat="false" ht="15.75" hidden="true" customHeight="true" outlineLevel="0" collapsed="false">
      <c r="A9" s="63" t="n">
        <v>2021</v>
      </c>
      <c r="B9" s="79" t="s">
        <v>330</v>
      </c>
      <c r="C9" s="79"/>
      <c r="D9" s="63"/>
      <c r="E9" s="63"/>
      <c r="F9" s="63"/>
      <c r="G9" s="63"/>
    </row>
    <row r="10" customFormat="false" ht="15.75" hidden="true" customHeight="true" outlineLevel="0" collapsed="false">
      <c r="A10" s="63" t="n">
        <v>2021</v>
      </c>
      <c r="B10" s="79" t="s">
        <v>330</v>
      </c>
      <c r="C10" s="79"/>
      <c r="D10" s="63"/>
      <c r="E10" s="63"/>
      <c r="F10" s="63"/>
      <c r="G10" s="63"/>
    </row>
    <row r="11" customFormat="false" ht="15.75" hidden="true" customHeight="true" outlineLevel="0" collapsed="false">
      <c r="A11" s="63" t="n">
        <v>2021</v>
      </c>
      <c r="B11" s="79" t="s">
        <v>330</v>
      </c>
      <c r="C11" s="79"/>
      <c r="D11" s="63"/>
      <c r="E11" s="63"/>
      <c r="F11" s="63"/>
      <c r="G11" s="63"/>
    </row>
    <row r="12" customFormat="false" ht="15.75" hidden="true" customHeight="true" outlineLevel="0" collapsed="false">
      <c r="A12" s="63" t="n">
        <v>2021</v>
      </c>
      <c r="B12" s="79" t="s">
        <v>330</v>
      </c>
      <c r="C12" s="79"/>
      <c r="D12" s="63"/>
      <c r="E12" s="63"/>
      <c r="F12" s="63"/>
      <c r="G12" s="63"/>
    </row>
    <row r="13" customFormat="false" ht="15.75" hidden="true" customHeight="true" outlineLevel="0" collapsed="false">
      <c r="A13" s="63" t="n">
        <v>2021</v>
      </c>
      <c r="B13" s="79" t="s">
        <v>330</v>
      </c>
      <c r="C13" s="79"/>
      <c r="D13" s="63"/>
      <c r="E13" s="63"/>
      <c r="F13" s="63"/>
      <c r="G13" s="63"/>
    </row>
    <row r="14" customFormat="false" ht="15.75" hidden="true" customHeight="true" outlineLevel="0" collapsed="false">
      <c r="A14" s="63" t="n">
        <v>2021</v>
      </c>
      <c r="B14" s="79" t="s">
        <v>330</v>
      </c>
      <c r="C14" s="79"/>
      <c r="D14" s="63"/>
      <c r="E14" s="63"/>
      <c r="F14" s="63"/>
      <c r="G14" s="63"/>
    </row>
    <row r="15" customFormat="false" ht="15.75" hidden="true" customHeight="true" outlineLevel="0" collapsed="false">
      <c r="A15" s="63" t="n">
        <v>2021</v>
      </c>
      <c r="B15" s="79" t="s">
        <v>330</v>
      </c>
      <c r="C15" s="79"/>
      <c r="D15" s="63"/>
      <c r="E15" s="63"/>
      <c r="F15" s="63"/>
      <c r="G15" s="63"/>
    </row>
    <row r="16" customFormat="false" ht="15.75" hidden="true" customHeight="true" outlineLevel="0" collapsed="false">
      <c r="A16" s="63" t="n">
        <v>2021</v>
      </c>
      <c r="B16" s="79" t="s">
        <v>330</v>
      </c>
      <c r="C16" s="79"/>
      <c r="D16" s="63"/>
      <c r="E16" s="63"/>
      <c r="F16" s="63"/>
      <c r="G16" s="63"/>
    </row>
    <row r="17" customFormat="false" ht="15.75" hidden="true" customHeight="true" outlineLevel="0" collapsed="false">
      <c r="A17" s="63" t="n">
        <v>2021</v>
      </c>
      <c r="B17" s="79" t="s">
        <v>330</v>
      </c>
      <c r="C17" s="79"/>
      <c r="D17" s="63"/>
      <c r="E17" s="63"/>
      <c r="F17" s="63"/>
      <c r="G17" s="63"/>
    </row>
    <row r="18" customFormat="false" ht="15.75" hidden="true" customHeight="true" outlineLevel="0" collapsed="false">
      <c r="A18" s="63" t="n">
        <v>2021</v>
      </c>
      <c r="B18" s="79" t="s">
        <v>330</v>
      </c>
      <c r="C18" s="79"/>
      <c r="D18" s="63"/>
      <c r="E18" s="63"/>
      <c r="F18" s="63"/>
      <c r="G18" s="63"/>
    </row>
    <row r="19" customFormat="false" ht="15.75" hidden="true" customHeight="true" outlineLevel="0" collapsed="false">
      <c r="A19" s="63" t="n">
        <v>2021</v>
      </c>
      <c r="B19" s="79" t="s">
        <v>330</v>
      </c>
      <c r="C19" s="79"/>
      <c r="D19" s="63"/>
      <c r="E19" s="63"/>
      <c r="F19" s="63"/>
      <c r="G19" s="63"/>
    </row>
    <row r="20" customFormat="false" ht="15.75" hidden="true" customHeight="true" outlineLevel="0" collapsed="false">
      <c r="A20" s="63" t="n">
        <v>2021</v>
      </c>
      <c r="B20" s="79" t="s">
        <v>330</v>
      </c>
      <c r="C20" s="79"/>
      <c r="D20" s="63"/>
      <c r="E20" s="63"/>
      <c r="F20" s="63"/>
      <c r="G20" s="63"/>
    </row>
    <row r="21" customFormat="false" ht="15.75" hidden="true" customHeight="true" outlineLevel="0" collapsed="false">
      <c r="A21" s="63" t="n">
        <v>2021</v>
      </c>
      <c r="B21" s="79" t="s">
        <v>330</v>
      </c>
      <c r="C21" s="79"/>
      <c r="D21" s="63"/>
      <c r="E21" s="63"/>
      <c r="F21" s="63"/>
      <c r="G21" s="63"/>
    </row>
    <row r="22" customFormat="false" ht="15.75" hidden="true" customHeight="true" outlineLevel="0" collapsed="false">
      <c r="A22" s="63" t="n">
        <v>2021</v>
      </c>
      <c r="B22" s="79" t="s">
        <v>330</v>
      </c>
      <c r="C22" s="79"/>
      <c r="D22" s="63"/>
      <c r="E22" s="63"/>
      <c r="F22" s="63"/>
      <c r="G22" s="63"/>
    </row>
    <row r="23" customFormat="false" ht="15.75" hidden="true" customHeight="true" outlineLevel="0" collapsed="false">
      <c r="A23" s="63" t="n">
        <v>2021</v>
      </c>
      <c r="B23" s="79" t="s">
        <v>330</v>
      </c>
      <c r="C23" s="79"/>
      <c r="D23" s="63"/>
      <c r="E23" s="63"/>
      <c r="F23" s="63"/>
      <c r="G23" s="63"/>
    </row>
    <row r="24" customFormat="false" ht="15.75" hidden="true" customHeight="true" outlineLevel="0" collapsed="false">
      <c r="A24" s="63" t="n">
        <v>2021</v>
      </c>
      <c r="B24" s="79" t="s">
        <v>330</v>
      </c>
      <c r="C24" s="79"/>
      <c r="D24" s="63"/>
      <c r="E24" s="63"/>
      <c r="F24" s="63"/>
      <c r="G24" s="63"/>
    </row>
    <row r="25" customFormat="false" ht="15.75" hidden="true" customHeight="true" outlineLevel="0" collapsed="false">
      <c r="A25" s="99" t="s">
        <v>381</v>
      </c>
      <c r="B25" s="99"/>
      <c r="C25" s="99"/>
      <c r="D25" s="99"/>
      <c r="E25" s="99"/>
      <c r="F25" s="99"/>
      <c r="G25" s="99"/>
    </row>
    <row r="26" customFormat="false" ht="15.75" hidden="true" customHeight="true" outlineLevel="0" collapsed="false">
      <c r="A26" s="63" t="n">
        <v>2021</v>
      </c>
      <c r="B26" s="79" t="s">
        <v>331</v>
      </c>
      <c r="C26" s="79"/>
      <c r="D26" s="63"/>
      <c r="E26" s="63"/>
      <c r="F26" s="63"/>
      <c r="G26" s="63"/>
    </row>
    <row r="27" customFormat="false" ht="15.75" hidden="true" customHeight="true" outlineLevel="0" collapsed="false">
      <c r="A27" s="63" t="n">
        <v>2021</v>
      </c>
      <c r="B27" s="79" t="s">
        <v>331</v>
      </c>
      <c r="C27" s="79"/>
      <c r="D27" s="63"/>
      <c r="E27" s="63"/>
      <c r="F27" s="63"/>
      <c r="G27" s="63"/>
    </row>
    <row r="28" customFormat="false" ht="15.75" hidden="true" customHeight="true" outlineLevel="0" collapsed="false">
      <c r="A28" s="63" t="n">
        <v>2021</v>
      </c>
      <c r="B28" s="79" t="s">
        <v>331</v>
      </c>
      <c r="C28" s="79"/>
      <c r="D28" s="63"/>
      <c r="E28" s="63"/>
      <c r="F28" s="63"/>
      <c r="G28" s="63"/>
    </row>
    <row r="29" customFormat="false" ht="15.75" hidden="true" customHeight="true" outlineLevel="0" collapsed="false">
      <c r="A29" s="63" t="n">
        <v>2021</v>
      </c>
      <c r="B29" s="79" t="s">
        <v>331</v>
      </c>
      <c r="C29" s="79"/>
      <c r="D29" s="63"/>
      <c r="E29" s="63"/>
      <c r="F29" s="63"/>
      <c r="G29" s="63"/>
    </row>
    <row r="30" customFormat="false" ht="15.75" hidden="true" customHeight="true" outlineLevel="0" collapsed="false">
      <c r="A30" s="63" t="n">
        <v>2021</v>
      </c>
      <c r="B30" s="79" t="s">
        <v>331</v>
      </c>
      <c r="C30" s="79"/>
      <c r="D30" s="63"/>
      <c r="E30" s="63"/>
      <c r="F30" s="63"/>
      <c r="G30" s="63"/>
    </row>
    <row r="31" customFormat="false" ht="15.75" hidden="true" customHeight="true" outlineLevel="0" collapsed="false">
      <c r="A31" s="63" t="n">
        <v>2021</v>
      </c>
      <c r="B31" s="79" t="s">
        <v>331</v>
      </c>
      <c r="C31" s="79"/>
      <c r="D31" s="63"/>
      <c r="E31" s="63"/>
      <c r="F31" s="63"/>
      <c r="G31" s="63"/>
    </row>
    <row r="32" customFormat="false" ht="15.75" hidden="true" customHeight="true" outlineLevel="0" collapsed="false">
      <c r="A32" s="63" t="n">
        <v>2021</v>
      </c>
      <c r="B32" s="79" t="s">
        <v>331</v>
      </c>
      <c r="C32" s="79"/>
      <c r="D32" s="63"/>
      <c r="E32" s="63"/>
      <c r="F32" s="63"/>
      <c r="G32" s="63"/>
    </row>
    <row r="33" customFormat="false" ht="15.75" hidden="true" customHeight="true" outlineLevel="0" collapsed="false">
      <c r="A33" s="63" t="n">
        <v>2021</v>
      </c>
      <c r="B33" s="79" t="s">
        <v>331</v>
      </c>
      <c r="C33" s="79"/>
      <c r="D33" s="63"/>
      <c r="E33" s="63"/>
      <c r="F33" s="63"/>
      <c r="G33" s="63"/>
    </row>
    <row r="34" customFormat="false" ht="15.75" hidden="true" customHeight="true" outlineLevel="0" collapsed="false">
      <c r="A34" s="63" t="n">
        <v>2021</v>
      </c>
      <c r="B34" s="79" t="s">
        <v>331</v>
      </c>
      <c r="C34" s="79"/>
      <c r="D34" s="63"/>
      <c r="E34" s="63"/>
      <c r="F34" s="63"/>
      <c r="G34" s="63"/>
    </row>
    <row r="35" customFormat="false" ht="15.75" hidden="true" customHeight="true" outlineLevel="0" collapsed="false">
      <c r="A35" s="63" t="n">
        <v>2021</v>
      </c>
      <c r="B35" s="79" t="s">
        <v>331</v>
      </c>
      <c r="C35" s="79"/>
      <c r="D35" s="63"/>
      <c r="E35" s="63"/>
      <c r="F35" s="63"/>
      <c r="G35" s="63"/>
    </row>
    <row r="36" customFormat="false" ht="15.75" hidden="true" customHeight="true" outlineLevel="0" collapsed="false">
      <c r="A36" s="63" t="n">
        <v>2021</v>
      </c>
      <c r="B36" s="79" t="s">
        <v>331</v>
      </c>
      <c r="C36" s="79"/>
      <c r="D36" s="63"/>
      <c r="E36" s="63"/>
      <c r="F36" s="63"/>
      <c r="G36" s="63"/>
    </row>
    <row r="37" customFormat="false" ht="15.75" hidden="true" customHeight="true" outlineLevel="0" collapsed="false">
      <c r="A37" s="63" t="n">
        <v>2021</v>
      </c>
      <c r="B37" s="79" t="s">
        <v>331</v>
      </c>
      <c r="C37" s="79"/>
      <c r="D37" s="63"/>
      <c r="E37" s="63"/>
      <c r="F37" s="63"/>
      <c r="G37" s="63"/>
    </row>
    <row r="38" customFormat="false" ht="15.75" hidden="true" customHeight="true" outlineLevel="0" collapsed="false">
      <c r="A38" s="63" t="n">
        <v>2021</v>
      </c>
      <c r="B38" s="79" t="s">
        <v>331</v>
      </c>
      <c r="C38" s="79"/>
      <c r="D38" s="63"/>
      <c r="E38" s="63"/>
      <c r="F38" s="63"/>
      <c r="G38" s="63"/>
    </row>
    <row r="39" customFormat="false" ht="15.75" hidden="true" customHeight="true" outlineLevel="0" collapsed="false">
      <c r="A39" s="63" t="n">
        <v>2021</v>
      </c>
      <c r="B39" s="79" t="s">
        <v>331</v>
      </c>
      <c r="C39" s="79"/>
      <c r="D39" s="63"/>
      <c r="E39" s="63"/>
      <c r="F39" s="63"/>
      <c r="G39" s="63"/>
    </row>
    <row r="40" customFormat="false" ht="15.75" hidden="true" customHeight="true" outlineLevel="0" collapsed="false">
      <c r="A40" s="63" t="n">
        <v>2021</v>
      </c>
      <c r="B40" s="79" t="s">
        <v>331</v>
      </c>
      <c r="C40" s="79"/>
      <c r="D40" s="63"/>
      <c r="E40" s="63"/>
      <c r="F40" s="63"/>
      <c r="G40" s="63"/>
    </row>
    <row r="41" customFormat="false" ht="15.75" hidden="true" customHeight="true" outlineLevel="0" collapsed="false">
      <c r="A41" s="63" t="n">
        <v>2021</v>
      </c>
      <c r="B41" s="79" t="s">
        <v>331</v>
      </c>
      <c r="C41" s="79"/>
      <c r="D41" s="63"/>
      <c r="E41" s="63"/>
      <c r="F41" s="63"/>
      <c r="G41" s="63"/>
    </row>
    <row r="42" customFormat="false" ht="15.75" hidden="true" customHeight="true" outlineLevel="0" collapsed="false">
      <c r="A42" s="63" t="n">
        <v>2021</v>
      </c>
      <c r="B42" s="79" t="s">
        <v>331</v>
      </c>
      <c r="C42" s="79"/>
      <c r="D42" s="63"/>
      <c r="E42" s="63"/>
      <c r="F42" s="63"/>
      <c r="G42" s="63"/>
    </row>
    <row r="43" customFormat="false" ht="15.75" hidden="true" customHeight="true" outlineLevel="0" collapsed="false">
      <c r="A43" s="63" t="n">
        <v>2021</v>
      </c>
      <c r="B43" s="79" t="s">
        <v>331</v>
      </c>
      <c r="C43" s="79"/>
      <c r="D43" s="63"/>
      <c r="E43" s="63"/>
      <c r="F43" s="63"/>
      <c r="G43" s="63"/>
    </row>
    <row r="44" customFormat="false" ht="15.75" hidden="true" customHeight="true" outlineLevel="0" collapsed="false">
      <c r="A44" s="63" t="n">
        <v>2021</v>
      </c>
      <c r="B44" s="79" t="s">
        <v>331</v>
      </c>
      <c r="C44" s="79"/>
      <c r="D44" s="63"/>
      <c r="E44" s="63"/>
      <c r="F44" s="63"/>
      <c r="G44" s="63"/>
    </row>
    <row r="45" customFormat="false" ht="15.75" hidden="true" customHeight="true" outlineLevel="0" collapsed="false">
      <c r="A45" s="63" t="n">
        <v>2021</v>
      </c>
      <c r="B45" s="79" t="s">
        <v>331</v>
      </c>
      <c r="C45" s="79"/>
      <c r="D45" s="63"/>
      <c r="E45" s="63"/>
      <c r="F45" s="63"/>
      <c r="G45" s="63"/>
    </row>
    <row r="46" customFormat="false" ht="15.75" hidden="true" customHeight="true" outlineLevel="0" collapsed="false">
      <c r="A46" s="99" t="s">
        <v>382</v>
      </c>
      <c r="B46" s="99"/>
      <c r="C46" s="99"/>
      <c r="D46" s="99"/>
      <c r="E46" s="99"/>
      <c r="F46" s="99"/>
      <c r="G46" s="99"/>
    </row>
    <row r="47" customFormat="false" ht="15.75" hidden="true" customHeight="true" outlineLevel="0" collapsed="false">
      <c r="A47" s="63" t="n">
        <v>2021</v>
      </c>
      <c r="B47" s="79" t="s">
        <v>332</v>
      </c>
      <c r="C47" s="79"/>
      <c r="D47" s="63"/>
      <c r="E47" s="63"/>
      <c r="F47" s="63"/>
      <c r="G47" s="63"/>
    </row>
    <row r="48" customFormat="false" ht="15.75" hidden="true" customHeight="true" outlineLevel="0" collapsed="false">
      <c r="A48" s="63" t="n">
        <v>2021</v>
      </c>
      <c r="B48" s="79" t="s">
        <v>332</v>
      </c>
      <c r="C48" s="79"/>
      <c r="D48" s="63"/>
      <c r="E48" s="63"/>
      <c r="F48" s="63"/>
      <c r="G48" s="63"/>
    </row>
    <row r="49" customFormat="false" ht="15.75" hidden="true" customHeight="true" outlineLevel="0" collapsed="false">
      <c r="A49" s="63" t="n">
        <v>2021</v>
      </c>
      <c r="B49" s="79" t="s">
        <v>332</v>
      </c>
      <c r="C49" s="79"/>
      <c r="D49" s="63"/>
      <c r="E49" s="63"/>
      <c r="F49" s="63"/>
      <c r="G49" s="63"/>
    </row>
    <row r="50" customFormat="false" ht="15.75" hidden="true" customHeight="true" outlineLevel="0" collapsed="false">
      <c r="A50" s="63" t="n">
        <v>2021</v>
      </c>
      <c r="B50" s="79" t="s">
        <v>332</v>
      </c>
      <c r="C50" s="79"/>
      <c r="D50" s="63"/>
      <c r="E50" s="63"/>
      <c r="F50" s="63"/>
      <c r="G50" s="63"/>
    </row>
    <row r="51" customFormat="false" ht="15.75" hidden="true" customHeight="true" outlineLevel="0" collapsed="false">
      <c r="A51" s="63" t="n">
        <v>2021</v>
      </c>
      <c r="B51" s="79" t="s">
        <v>332</v>
      </c>
      <c r="C51" s="79"/>
      <c r="D51" s="63"/>
      <c r="E51" s="63"/>
      <c r="F51" s="63"/>
      <c r="G51" s="63"/>
    </row>
    <row r="52" customFormat="false" ht="15.75" hidden="true" customHeight="true" outlineLevel="0" collapsed="false">
      <c r="A52" s="63" t="n">
        <v>2021</v>
      </c>
      <c r="B52" s="79" t="s">
        <v>332</v>
      </c>
      <c r="C52" s="79"/>
      <c r="D52" s="63"/>
      <c r="E52" s="63"/>
      <c r="F52" s="63"/>
      <c r="G52" s="63"/>
    </row>
    <row r="53" customFormat="false" ht="15.75" hidden="true" customHeight="true" outlineLevel="0" collapsed="false">
      <c r="A53" s="63" t="n">
        <v>2021</v>
      </c>
      <c r="B53" s="79" t="s">
        <v>332</v>
      </c>
      <c r="C53" s="79"/>
      <c r="D53" s="63"/>
      <c r="E53" s="63"/>
      <c r="F53" s="63"/>
      <c r="G53" s="63"/>
    </row>
    <row r="54" customFormat="false" ht="15.75" hidden="true" customHeight="true" outlineLevel="0" collapsed="false">
      <c r="A54" s="63" t="n">
        <v>2021</v>
      </c>
      <c r="B54" s="79" t="s">
        <v>332</v>
      </c>
      <c r="C54" s="79"/>
      <c r="D54" s="63"/>
      <c r="E54" s="63"/>
      <c r="F54" s="63"/>
      <c r="G54" s="63"/>
    </row>
    <row r="55" customFormat="false" ht="15.75" hidden="true" customHeight="true" outlineLevel="0" collapsed="false">
      <c r="A55" s="63" t="n">
        <v>2021</v>
      </c>
      <c r="B55" s="79" t="s">
        <v>332</v>
      </c>
      <c r="C55" s="79"/>
      <c r="D55" s="63"/>
      <c r="E55" s="63"/>
      <c r="F55" s="63"/>
      <c r="G55" s="63"/>
    </row>
    <row r="56" customFormat="false" ht="15.75" hidden="true" customHeight="true" outlineLevel="0" collapsed="false">
      <c r="A56" s="63" t="n">
        <v>2021</v>
      </c>
      <c r="B56" s="79" t="s">
        <v>332</v>
      </c>
      <c r="C56" s="79"/>
      <c r="D56" s="63"/>
      <c r="E56" s="63"/>
      <c r="F56" s="63"/>
      <c r="G56" s="63"/>
    </row>
    <row r="57" customFormat="false" ht="15.75" hidden="true" customHeight="true" outlineLevel="0" collapsed="false">
      <c r="A57" s="63" t="n">
        <v>2021</v>
      </c>
      <c r="B57" s="79" t="s">
        <v>332</v>
      </c>
      <c r="C57" s="79"/>
      <c r="D57" s="63"/>
      <c r="E57" s="63"/>
      <c r="F57" s="63"/>
      <c r="G57" s="63"/>
    </row>
    <row r="58" customFormat="false" ht="15.75" hidden="true" customHeight="true" outlineLevel="0" collapsed="false">
      <c r="A58" s="63" t="n">
        <v>2021</v>
      </c>
      <c r="B58" s="79" t="s">
        <v>332</v>
      </c>
      <c r="C58" s="79"/>
      <c r="D58" s="63"/>
      <c r="E58" s="63"/>
      <c r="F58" s="63"/>
      <c r="G58" s="63"/>
    </row>
    <row r="59" customFormat="false" ht="15.75" hidden="true" customHeight="true" outlineLevel="0" collapsed="false">
      <c r="A59" s="63" t="n">
        <v>2021</v>
      </c>
      <c r="B59" s="79" t="s">
        <v>332</v>
      </c>
      <c r="C59" s="79"/>
      <c r="D59" s="63"/>
      <c r="E59" s="63"/>
      <c r="F59" s="63"/>
      <c r="G59" s="63"/>
    </row>
    <row r="60" customFormat="false" ht="15.75" hidden="true" customHeight="true" outlineLevel="0" collapsed="false">
      <c r="A60" s="63" t="n">
        <v>2021</v>
      </c>
      <c r="B60" s="79" t="s">
        <v>332</v>
      </c>
      <c r="C60" s="79"/>
      <c r="D60" s="63"/>
      <c r="E60" s="63"/>
      <c r="F60" s="63"/>
      <c r="G60" s="63"/>
    </row>
    <row r="61" customFormat="false" ht="15.75" hidden="true" customHeight="true" outlineLevel="0" collapsed="false">
      <c r="A61" s="63" t="n">
        <v>2021</v>
      </c>
      <c r="B61" s="79" t="s">
        <v>332</v>
      </c>
      <c r="C61" s="79"/>
      <c r="D61" s="63"/>
      <c r="E61" s="63"/>
      <c r="F61" s="63"/>
      <c r="G61" s="63"/>
    </row>
    <row r="62" customFormat="false" ht="15.75" hidden="true" customHeight="true" outlineLevel="0" collapsed="false">
      <c r="A62" s="63" t="n">
        <v>2021</v>
      </c>
      <c r="B62" s="79" t="s">
        <v>332</v>
      </c>
      <c r="C62" s="79"/>
      <c r="D62" s="63"/>
      <c r="E62" s="63"/>
      <c r="F62" s="63"/>
      <c r="G62" s="63"/>
    </row>
    <row r="63" customFormat="false" ht="15.75" hidden="true" customHeight="true" outlineLevel="0" collapsed="false">
      <c r="A63" s="63" t="n">
        <v>2021</v>
      </c>
      <c r="B63" s="79" t="s">
        <v>332</v>
      </c>
      <c r="C63" s="79"/>
      <c r="D63" s="63"/>
      <c r="E63" s="63"/>
      <c r="F63" s="63"/>
      <c r="G63" s="63"/>
    </row>
    <row r="64" customFormat="false" ht="15.75" hidden="true" customHeight="true" outlineLevel="0" collapsed="false">
      <c r="A64" s="63" t="n">
        <v>2021</v>
      </c>
      <c r="B64" s="79" t="s">
        <v>332</v>
      </c>
      <c r="C64" s="79"/>
      <c r="D64" s="63"/>
      <c r="E64" s="63"/>
      <c r="F64" s="63"/>
      <c r="G64" s="63"/>
    </row>
    <row r="65" customFormat="false" ht="15.75" hidden="true" customHeight="true" outlineLevel="0" collapsed="false">
      <c r="A65" s="63" t="n">
        <v>2021</v>
      </c>
      <c r="B65" s="79" t="s">
        <v>332</v>
      </c>
      <c r="C65" s="79"/>
      <c r="D65" s="63"/>
      <c r="E65" s="63"/>
      <c r="F65" s="63"/>
      <c r="G65" s="63"/>
    </row>
    <row r="66" customFormat="false" ht="15.75" hidden="true" customHeight="true" outlineLevel="0" collapsed="false">
      <c r="A66" s="63" t="n">
        <v>2021</v>
      </c>
      <c r="B66" s="79" t="s">
        <v>332</v>
      </c>
      <c r="C66" s="79"/>
      <c r="D66" s="63"/>
      <c r="E66" s="63"/>
      <c r="F66" s="63"/>
      <c r="G66" s="63"/>
    </row>
    <row r="67" customFormat="false" ht="15.75" hidden="true" customHeight="true" outlineLevel="0" collapsed="false">
      <c r="A67" s="99" t="s">
        <v>383</v>
      </c>
      <c r="B67" s="99"/>
      <c r="C67" s="99"/>
      <c r="D67" s="99"/>
      <c r="E67" s="99"/>
      <c r="F67" s="99"/>
      <c r="G67" s="99"/>
    </row>
    <row r="68" customFormat="false" ht="15.75" hidden="true" customHeight="true" outlineLevel="0" collapsed="false">
      <c r="A68" s="63" t="n">
        <v>2021</v>
      </c>
      <c r="B68" s="79" t="s">
        <v>333</v>
      </c>
      <c r="C68" s="79"/>
      <c r="D68" s="63"/>
      <c r="E68" s="63"/>
      <c r="F68" s="63"/>
      <c r="G68" s="63"/>
    </row>
    <row r="69" customFormat="false" ht="15.75" hidden="true" customHeight="true" outlineLevel="0" collapsed="false">
      <c r="A69" s="63" t="n">
        <v>2021</v>
      </c>
      <c r="B69" s="79" t="s">
        <v>333</v>
      </c>
      <c r="C69" s="79"/>
      <c r="D69" s="63"/>
      <c r="E69" s="63"/>
      <c r="F69" s="63"/>
      <c r="G69" s="63"/>
    </row>
    <row r="70" customFormat="false" ht="15.75" hidden="true" customHeight="true" outlineLevel="0" collapsed="false">
      <c r="A70" s="63" t="n">
        <v>2021</v>
      </c>
      <c r="B70" s="79" t="s">
        <v>333</v>
      </c>
      <c r="C70" s="79"/>
      <c r="D70" s="63"/>
      <c r="E70" s="63"/>
      <c r="F70" s="63"/>
      <c r="G70" s="63"/>
    </row>
    <row r="71" customFormat="false" ht="15.75" hidden="true" customHeight="true" outlineLevel="0" collapsed="false">
      <c r="A71" s="63" t="n">
        <v>2021</v>
      </c>
      <c r="B71" s="79" t="s">
        <v>333</v>
      </c>
      <c r="C71" s="79"/>
      <c r="D71" s="63"/>
      <c r="E71" s="63"/>
      <c r="F71" s="63"/>
      <c r="G71" s="63"/>
    </row>
    <row r="72" customFormat="false" ht="15.75" hidden="true" customHeight="true" outlineLevel="0" collapsed="false">
      <c r="A72" s="63" t="n">
        <v>2021</v>
      </c>
      <c r="B72" s="79" t="s">
        <v>333</v>
      </c>
      <c r="C72" s="79"/>
      <c r="D72" s="63"/>
      <c r="E72" s="63"/>
      <c r="F72" s="63"/>
      <c r="G72" s="63"/>
    </row>
    <row r="73" customFormat="false" ht="15.75" hidden="true" customHeight="true" outlineLevel="0" collapsed="false">
      <c r="A73" s="63" t="n">
        <v>2021</v>
      </c>
      <c r="B73" s="79" t="s">
        <v>333</v>
      </c>
      <c r="C73" s="79"/>
      <c r="D73" s="63"/>
      <c r="E73" s="63"/>
      <c r="F73" s="63"/>
      <c r="G73" s="63"/>
    </row>
    <row r="74" customFormat="false" ht="15.75" hidden="true" customHeight="true" outlineLevel="0" collapsed="false">
      <c r="A74" s="63" t="n">
        <v>2021</v>
      </c>
      <c r="B74" s="79" t="s">
        <v>333</v>
      </c>
      <c r="C74" s="79"/>
      <c r="D74" s="63"/>
      <c r="E74" s="63"/>
      <c r="F74" s="63"/>
      <c r="G74" s="63"/>
    </row>
    <row r="75" customFormat="false" ht="15.75" hidden="true" customHeight="true" outlineLevel="0" collapsed="false">
      <c r="A75" s="63" t="n">
        <v>2021</v>
      </c>
      <c r="B75" s="79" t="s">
        <v>333</v>
      </c>
      <c r="C75" s="79"/>
      <c r="D75" s="63"/>
      <c r="E75" s="63"/>
      <c r="F75" s="63"/>
      <c r="G75" s="63"/>
    </row>
    <row r="76" customFormat="false" ht="15.75" hidden="true" customHeight="true" outlineLevel="0" collapsed="false">
      <c r="A76" s="63" t="n">
        <v>2021</v>
      </c>
      <c r="B76" s="79" t="s">
        <v>333</v>
      </c>
      <c r="C76" s="79"/>
      <c r="D76" s="63"/>
      <c r="E76" s="63"/>
      <c r="F76" s="63"/>
      <c r="G76" s="63"/>
    </row>
    <row r="77" customFormat="false" ht="15.75" hidden="true" customHeight="true" outlineLevel="0" collapsed="false">
      <c r="A77" s="63" t="n">
        <v>2021</v>
      </c>
      <c r="B77" s="79" t="s">
        <v>333</v>
      </c>
      <c r="C77" s="79"/>
      <c r="D77" s="63"/>
      <c r="E77" s="63"/>
      <c r="F77" s="63"/>
      <c r="G77" s="63"/>
    </row>
    <row r="78" customFormat="false" ht="15.75" hidden="true" customHeight="true" outlineLevel="0" collapsed="false">
      <c r="A78" s="63" t="n">
        <v>2021</v>
      </c>
      <c r="B78" s="79" t="s">
        <v>333</v>
      </c>
      <c r="C78" s="79"/>
      <c r="D78" s="63"/>
      <c r="E78" s="63"/>
      <c r="F78" s="63"/>
      <c r="G78" s="63"/>
    </row>
    <row r="79" customFormat="false" ht="15.75" hidden="true" customHeight="true" outlineLevel="0" collapsed="false">
      <c r="A79" s="63" t="n">
        <v>2021</v>
      </c>
      <c r="B79" s="79" t="s">
        <v>333</v>
      </c>
      <c r="C79" s="79"/>
      <c r="D79" s="63"/>
      <c r="E79" s="63"/>
      <c r="F79" s="63"/>
      <c r="G79" s="63"/>
    </row>
    <row r="80" customFormat="false" ht="15.75" hidden="true" customHeight="true" outlineLevel="0" collapsed="false">
      <c r="A80" s="63" t="n">
        <v>2021</v>
      </c>
      <c r="B80" s="79" t="s">
        <v>333</v>
      </c>
      <c r="C80" s="79"/>
      <c r="D80" s="63"/>
      <c r="E80" s="63"/>
      <c r="F80" s="63"/>
      <c r="G80" s="63"/>
    </row>
    <row r="81" customFormat="false" ht="15.75" hidden="true" customHeight="true" outlineLevel="0" collapsed="false">
      <c r="A81" s="63" t="n">
        <v>2021</v>
      </c>
      <c r="B81" s="79" t="s">
        <v>333</v>
      </c>
      <c r="C81" s="79"/>
      <c r="D81" s="63"/>
      <c r="E81" s="63"/>
      <c r="F81" s="63"/>
      <c r="G81" s="63"/>
    </row>
    <row r="82" customFormat="false" ht="15.75" hidden="true" customHeight="true" outlineLevel="0" collapsed="false">
      <c r="A82" s="63" t="n">
        <v>2021</v>
      </c>
      <c r="B82" s="79" t="s">
        <v>333</v>
      </c>
      <c r="C82" s="79"/>
      <c r="D82" s="63"/>
      <c r="E82" s="63"/>
      <c r="F82" s="63"/>
      <c r="G82" s="63"/>
    </row>
    <row r="83" customFormat="false" ht="15.75" hidden="true" customHeight="true" outlineLevel="0" collapsed="false">
      <c r="A83" s="63" t="n">
        <v>2021</v>
      </c>
      <c r="B83" s="79" t="s">
        <v>333</v>
      </c>
      <c r="C83" s="79"/>
      <c r="D83" s="63"/>
      <c r="E83" s="63"/>
      <c r="F83" s="63"/>
      <c r="G83" s="63"/>
    </row>
    <row r="84" customFormat="false" ht="15.75" hidden="true" customHeight="true" outlineLevel="0" collapsed="false">
      <c r="A84" s="63" t="n">
        <v>2021</v>
      </c>
      <c r="B84" s="79" t="s">
        <v>333</v>
      </c>
      <c r="C84" s="79"/>
      <c r="D84" s="63"/>
      <c r="E84" s="63"/>
      <c r="F84" s="63"/>
      <c r="G84" s="63"/>
    </row>
    <row r="85" customFormat="false" ht="15.75" hidden="true" customHeight="true" outlineLevel="0" collapsed="false">
      <c r="A85" s="63" t="n">
        <v>2021</v>
      </c>
      <c r="B85" s="79" t="s">
        <v>333</v>
      </c>
      <c r="C85" s="79"/>
      <c r="D85" s="63"/>
      <c r="E85" s="63"/>
      <c r="F85" s="63"/>
      <c r="G85" s="63"/>
    </row>
    <row r="86" customFormat="false" ht="15.75" hidden="true" customHeight="true" outlineLevel="0" collapsed="false">
      <c r="A86" s="63" t="n">
        <v>2021</v>
      </c>
      <c r="B86" s="79" t="s">
        <v>333</v>
      </c>
      <c r="C86" s="79"/>
      <c r="D86" s="63"/>
      <c r="E86" s="63"/>
      <c r="F86" s="63"/>
      <c r="G86" s="63"/>
    </row>
    <row r="87" customFormat="false" ht="15.75" hidden="true" customHeight="true" outlineLevel="0" collapsed="false">
      <c r="A87" s="63" t="n">
        <v>2021</v>
      </c>
      <c r="B87" s="79" t="s">
        <v>333</v>
      </c>
      <c r="C87" s="79"/>
      <c r="D87" s="63"/>
      <c r="E87" s="63"/>
      <c r="F87" s="63"/>
      <c r="G87" s="63"/>
    </row>
    <row r="88" customFormat="false" ht="15.75" hidden="true" customHeight="true" outlineLevel="0" collapsed="false">
      <c r="A88" s="99" t="s">
        <v>384</v>
      </c>
      <c r="B88" s="99"/>
      <c r="C88" s="99"/>
      <c r="D88" s="99"/>
      <c r="E88" s="99"/>
      <c r="F88" s="99"/>
      <c r="G88" s="99"/>
    </row>
    <row r="89" customFormat="false" ht="15.75" hidden="true" customHeight="true" outlineLevel="0" collapsed="false">
      <c r="A89" s="63" t="n">
        <v>2021</v>
      </c>
      <c r="B89" s="79" t="s">
        <v>65</v>
      </c>
      <c r="C89" s="79"/>
      <c r="D89" s="63"/>
      <c r="E89" s="63"/>
      <c r="F89" s="63"/>
      <c r="G89" s="63"/>
    </row>
    <row r="90" customFormat="false" ht="15.75" hidden="true" customHeight="true" outlineLevel="0" collapsed="false">
      <c r="A90" s="63" t="n">
        <v>2021</v>
      </c>
      <c r="B90" s="79" t="s">
        <v>65</v>
      </c>
      <c r="C90" s="79"/>
      <c r="D90" s="63"/>
      <c r="E90" s="63"/>
      <c r="F90" s="63"/>
      <c r="G90" s="63"/>
    </row>
    <row r="91" customFormat="false" ht="15.75" hidden="true" customHeight="true" outlineLevel="0" collapsed="false">
      <c r="A91" s="63" t="n">
        <v>2021</v>
      </c>
      <c r="B91" s="79" t="s">
        <v>65</v>
      </c>
      <c r="C91" s="79"/>
      <c r="D91" s="63"/>
      <c r="E91" s="63"/>
      <c r="F91" s="63"/>
      <c r="G91" s="63"/>
    </row>
    <row r="92" customFormat="false" ht="15.75" hidden="true" customHeight="true" outlineLevel="0" collapsed="false">
      <c r="A92" s="63" t="n">
        <v>2021</v>
      </c>
      <c r="B92" s="79" t="s">
        <v>65</v>
      </c>
      <c r="C92" s="79"/>
      <c r="D92" s="63"/>
      <c r="E92" s="63"/>
      <c r="F92" s="63"/>
      <c r="G92" s="63"/>
    </row>
    <row r="93" customFormat="false" ht="15.75" hidden="true" customHeight="true" outlineLevel="0" collapsed="false">
      <c r="A93" s="63" t="n">
        <v>2021</v>
      </c>
      <c r="B93" s="79" t="s">
        <v>65</v>
      </c>
      <c r="C93" s="79"/>
      <c r="D93" s="63"/>
      <c r="E93" s="63"/>
      <c r="F93" s="63"/>
      <c r="G93" s="63"/>
    </row>
    <row r="94" customFormat="false" ht="15.75" hidden="true" customHeight="true" outlineLevel="0" collapsed="false">
      <c r="A94" s="63" t="n">
        <v>2021</v>
      </c>
      <c r="B94" s="79" t="s">
        <v>65</v>
      </c>
      <c r="C94" s="79"/>
      <c r="D94" s="63"/>
      <c r="E94" s="63"/>
      <c r="F94" s="63"/>
      <c r="G94" s="63"/>
    </row>
    <row r="95" customFormat="false" ht="15.75" hidden="true" customHeight="true" outlineLevel="0" collapsed="false">
      <c r="A95" s="63" t="n">
        <v>2021</v>
      </c>
      <c r="B95" s="79" t="s">
        <v>65</v>
      </c>
      <c r="C95" s="79"/>
      <c r="D95" s="63"/>
      <c r="E95" s="63"/>
      <c r="F95" s="63"/>
      <c r="G95" s="63"/>
    </row>
    <row r="96" customFormat="false" ht="15.75" hidden="true" customHeight="true" outlineLevel="0" collapsed="false">
      <c r="A96" s="63" t="n">
        <v>2021</v>
      </c>
      <c r="B96" s="79" t="s">
        <v>65</v>
      </c>
      <c r="C96" s="79"/>
      <c r="D96" s="63"/>
      <c r="E96" s="63"/>
      <c r="F96" s="63"/>
      <c r="G96" s="63"/>
    </row>
    <row r="97" customFormat="false" ht="15.75" hidden="true" customHeight="true" outlineLevel="0" collapsed="false">
      <c r="A97" s="63" t="n">
        <v>2021</v>
      </c>
      <c r="B97" s="79" t="s">
        <v>65</v>
      </c>
      <c r="C97" s="79"/>
      <c r="D97" s="63"/>
      <c r="E97" s="63"/>
      <c r="F97" s="63"/>
      <c r="G97" s="63"/>
    </row>
    <row r="98" customFormat="false" ht="15.75" hidden="true" customHeight="true" outlineLevel="0" collapsed="false">
      <c r="A98" s="63" t="n">
        <v>2021</v>
      </c>
      <c r="B98" s="79" t="s">
        <v>65</v>
      </c>
      <c r="C98" s="79"/>
      <c r="D98" s="63"/>
      <c r="E98" s="63"/>
      <c r="F98" s="63"/>
      <c r="G98" s="63"/>
    </row>
    <row r="99" customFormat="false" ht="15.75" hidden="true" customHeight="true" outlineLevel="0" collapsed="false">
      <c r="A99" s="63" t="n">
        <v>2021</v>
      </c>
      <c r="B99" s="79" t="s">
        <v>65</v>
      </c>
      <c r="C99" s="79"/>
      <c r="D99" s="63"/>
      <c r="E99" s="63"/>
      <c r="F99" s="63"/>
      <c r="G99" s="63"/>
    </row>
    <row r="100" customFormat="false" ht="15.75" hidden="true" customHeight="true" outlineLevel="0" collapsed="false">
      <c r="A100" s="63" t="n">
        <v>2021</v>
      </c>
      <c r="B100" s="79" t="s">
        <v>65</v>
      </c>
      <c r="C100" s="79"/>
      <c r="D100" s="63"/>
      <c r="E100" s="63"/>
      <c r="F100" s="63"/>
      <c r="G100" s="63"/>
    </row>
    <row r="101" customFormat="false" ht="15.75" hidden="true" customHeight="true" outlineLevel="0" collapsed="false">
      <c r="A101" s="63" t="n">
        <v>2021</v>
      </c>
      <c r="B101" s="79" t="s">
        <v>65</v>
      </c>
      <c r="C101" s="79"/>
      <c r="D101" s="63"/>
      <c r="E101" s="63"/>
      <c r="F101" s="63"/>
      <c r="G101" s="63"/>
    </row>
    <row r="102" customFormat="false" ht="15.75" hidden="true" customHeight="true" outlineLevel="0" collapsed="false">
      <c r="A102" s="63" t="n">
        <v>2021</v>
      </c>
      <c r="B102" s="79" t="s">
        <v>65</v>
      </c>
      <c r="C102" s="79"/>
      <c r="D102" s="63"/>
      <c r="E102" s="63"/>
      <c r="F102" s="63"/>
      <c r="G102" s="63"/>
    </row>
    <row r="103" customFormat="false" ht="15.75" hidden="true" customHeight="true" outlineLevel="0" collapsed="false">
      <c r="A103" s="63" t="n">
        <v>2021</v>
      </c>
      <c r="B103" s="79" t="s">
        <v>65</v>
      </c>
      <c r="C103" s="79"/>
      <c r="D103" s="63"/>
      <c r="E103" s="63"/>
      <c r="F103" s="63"/>
      <c r="G103" s="63"/>
    </row>
    <row r="104" customFormat="false" ht="15.75" hidden="true" customHeight="true" outlineLevel="0" collapsed="false">
      <c r="A104" s="63" t="n">
        <v>2021</v>
      </c>
      <c r="B104" s="79" t="s">
        <v>65</v>
      </c>
      <c r="C104" s="79"/>
      <c r="D104" s="63"/>
      <c r="E104" s="63"/>
      <c r="F104" s="63"/>
      <c r="G104" s="63"/>
    </row>
    <row r="105" customFormat="false" ht="15.75" hidden="true" customHeight="true" outlineLevel="0" collapsed="false">
      <c r="A105" s="63" t="n">
        <v>2021</v>
      </c>
      <c r="B105" s="79" t="s">
        <v>65</v>
      </c>
      <c r="C105" s="79"/>
      <c r="D105" s="63"/>
      <c r="E105" s="63"/>
      <c r="F105" s="63"/>
      <c r="G105" s="63"/>
    </row>
    <row r="106" customFormat="false" ht="15.75" hidden="true" customHeight="true" outlineLevel="0" collapsed="false">
      <c r="A106" s="63" t="n">
        <v>2021</v>
      </c>
      <c r="B106" s="79" t="s">
        <v>65</v>
      </c>
      <c r="C106" s="79"/>
      <c r="D106" s="63"/>
      <c r="E106" s="63"/>
      <c r="F106" s="63"/>
      <c r="G106" s="63"/>
    </row>
    <row r="107" customFormat="false" ht="15.75" hidden="true" customHeight="true" outlineLevel="0" collapsed="false">
      <c r="A107" s="63" t="n">
        <v>2021</v>
      </c>
      <c r="B107" s="79" t="s">
        <v>65</v>
      </c>
      <c r="C107" s="79"/>
      <c r="D107" s="63"/>
      <c r="E107" s="63"/>
      <c r="F107" s="63"/>
      <c r="G107" s="63"/>
    </row>
    <row r="108" customFormat="false" ht="15.75" hidden="true" customHeight="true" outlineLevel="0" collapsed="false">
      <c r="A108" s="63" t="n">
        <v>2021</v>
      </c>
      <c r="B108" s="79" t="s">
        <v>65</v>
      </c>
      <c r="C108" s="79"/>
      <c r="D108" s="63"/>
      <c r="E108" s="63"/>
      <c r="F108" s="63"/>
      <c r="G108" s="63"/>
    </row>
    <row r="109" customFormat="false" ht="15.75" hidden="true" customHeight="true" outlineLevel="0" collapsed="false">
      <c r="A109" s="99" t="s">
        <v>385</v>
      </c>
      <c r="B109" s="99"/>
      <c r="C109" s="99"/>
      <c r="D109" s="99"/>
      <c r="E109" s="99"/>
      <c r="F109" s="99"/>
      <c r="G109" s="99"/>
    </row>
    <row r="110" customFormat="false" ht="15.75" hidden="true" customHeight="true" outlineLevel="0" collapsed="false">
      <c r="A110" s="63" t="n">
        <v>2021</v>
      </c>
      <c r="B110" s="79" t="s">
        <v>108</v>
      </c>
      <c r="C110" s="79"/>
      <c r="D110" s="63"/>
      <c r="E110" s="63"/>
      <c r="F110" s="63"/>
      <c r="G110" s="63"/>
    </row>
    <row r="111" customFormat="false" ht="15.75" hidden="true" customHeight="true" outlineLevel="0" collapsed="false">
      <c r="A111" s="63" t="n">
        <v>2021</v>
      </c>
      <c r="B111" s="79" t="s">
        <v>108</v>
      </c>
      <c r="C111" s="79"/>
      <c r="D111" s="63"/>
      <c r="E111" s="63"/>
      <c r="F111" s="63"/>
      <c r="G111" s="63"/>
    </row>
    <row r="112" customFormat="false" ht="15.75" hidden="true" customHeight="true" outlineLevel="0" collapsed="false">
      <c r="A112" s="63" t="n">
        <v>2021</v>
      </c>
      <c r="B112" s="79" t="s">
        <v>108</v>
      </c>
      <c r="C112" s="79"/>
      <c r="D112" s="63"/>
      <c r="E112" s="63"/>
      <c r="F112" s="63"/>
      <c r="G112" s="63"/>
    </row>
    <row r="113" customFormat="false" ht="15.75" hidden="true" customHeight="true" outlineLevel="0" collapsed="false">
      <c r="A113" s="63" t="n">
        <v>2021</v>
      </c>
      <c r="B113" s="79" t="s">
        <v>108</v>
      </c>
      <c r="C113" s="79"/>
      <c r="D113" s="63"/>
      <c r="E113" s="63"/>
      <c r="F113" s="63"/>
      <c r="G113" s="63"/>
    </row>
    <row r="114" customFormat="false" ht="15.75" hidden="true" customHeight="true" outlineLevel="0" collapsed="false">
      <c r="A114" s="63" t="n">
        <v>2021</v>
      </c>
      <c r="B114" s="79" t="s">
        <v>108</v>
      </c>
      <c r="C114" s="79"/>
      <c r="D114" s="63"/>
      <c r="E114" s="63"/>
      <c r="F114" s="63"/>
      <c r="G114" s="63"/>
    </row>
    <row r="115" customFormat="false" ht="15.75" hidden="true" customHeight="true" outlineLevel="0" collapsed="false">
      <c r="A115" s="63" t="n">
        <v>2021</v>
      </c>
      <c r="B115" s="79" t="s">
        <v>108</v>
      </c>
      <c r="C115" s="79"/>
      <c r="D115" s="63"/>
      <c r="E115" s="63"/>
      <c r="F115" s="63"/>
      <c r="G115" s="63"/>
    </row>
    <row r="116" customFormat="false" ht="15.75" hidden="true" customHeight="true" outlineLevel="0" collapsed="false">
      <c r="A116" s="63" t="n">
        <v>2021</v>
      </c>
      <c r="B116" s="79" t="s">
        <v>108</v>
      </c>
      <c r="C116" s="79"/>
      <c r="D116" s="63"/>
      <c r="E116" s="63"/>
      <c r="F116" s="63"/>
      <c r="G116" s="63"/>
    </row>
    <row r="117" customFormat="false" ht="15.75" hidden="true" customHeight="true" outlineLevel="0" collapsed="false">
      <c r="A117" s="63" t="n">
        <v>2021</v>
      </c>
      <c r="B117" s="79" t="s">
        <v>108</v>
      </c>
      <c r="C117" s="79"/>
      <c r="D117" s="63"/>
      <c r="E117" s="63"/>
      <c r="F117" s="63"/>
      <c r="G117" s="63"/>
    </row>
    <row r="118" customFormat="false" ht="15.75" hidden="true" customHeight="true" outlineLevel="0" collapsed="false">
      <c r="A118" s="63" t="n">
        <v>2021</v>
      </c>
      <c r="B118" s="79" t="s">
        <v>108</v>
      </c>
      <c r="C118" s="79"/>
      <c r="D118" s="63"/>
      <c r="E118" s="63"/>
      <c r="F118" s="63"/>
      <c r="G118" s="63"/>
    </row>
    <row r="119" customFormat="false" ht="15.75" hidden="true" customHeight="true" outlineLevel="0" collapsed="false">
      <c r="A119" s="63" t="n">
        <v>2021</v>
      </c>
      <c r="B119" s="79" t="s">
        <v>108</v>
      </c>
      <c r="C119" s="79"/>
      <c r="D119" s="63"/>
      <c r="E119" s="63"/>
      <c r="F119" s="63"/>
      <c r="G119" s="63"/>
    </row>
    <row r="120" customFormat="false" ht="15.75" hidden="true" customHeight="true" outlineLevel="0" collapsed="false">
      <c r="A120" s="63" t="n">
        <v>2021</v>
      </c>
      <c r="B120" s="79" t="s">
        <v>108</v>
      </c>
      <c r="C120" s="79"/>
      <c r="D120" s="63"/>
      <c r="E120" s="63"/>
      <c r="F120" s="63"/>
      <c r="G120" s="63"/>
    </row>
    <row r="121" customFormat="false" ht="15.75" hidden="true" customHeight="true" outlineLevel="0" collapsed="false">
      <c r="A121" s="63" t="n">
        <v>2021</v>
      </c>
      <c r="B121" s="79" t="s">
        <v>108</v>
      </c>
      <c r="C121" s="79"/>
      <c r="D121" s="63"/>
      <c r="E121" s="63"/>
      <c r="F121" s="63"/>
      <c r="G121" s="63"/>
    </row>
    <row r="122" customFormat="false" ht="15.75" hidden="true" customHeight="true" outlineLevel="0" collapsed="false">
      <c r="A122" s="63" t="n">
        <v>2021</v>
      </c>
      <c r="B122" s="79" t="s">
        <v>108</v>
      </c>
      <c r="C122" s="79"/>
      <c r="D122" s="63"/>
      <c r="E122" s="63"/>
      <c r="F122" s="63"/>
      <c r="G122" s="63"/>
    </row>
    <row r="123" customFormat="false" ht="15.75" hidden="true" customHeight="true" outlineLevel="0" collapsed="false">
      <c r="A123" s="63" t="n">
        <v>2021</v>
      </c>
      <c r="B123" s="79" t="s">
        <v>108</v>
      </c>
      <c r="C123" s="79"/>
      <c r="D123" s="63"/>
      <c r="E123" s="63"/>
      <c r="F123" s="63"/>
      <c r="G123" s="63"/>
    </row>
    <row r="124" customFormat="false" ht="15.75" hidden="true" customHeight="true" outlineLevel="0" collapsed="false">
      <c r="A124" s="63" t="n">
        <v>2021</v>
      </c>
      <c r="B124" s="79" t="s">
        <v>108</v>
      </c>
      <c r="C124" s="79"/>
      <c r="D124" s="63"/>
      <c r="E124" s="63"/>
      <c r="F124" s="63"/>
      <c r="G124" s="63"/>
    </row>
    <row r="125" customFormat="false" ht="15.75" hidden="true" customHeight="true" outlineLevel="0" collapsed="false">
      <c r="A125" s="63" t="n">
        <v>2021</v>
      </c>
      <c r="B125" s="79" t="s">
        <v>108</v>
      </c>
      <c r="C125" s="79"/>
      <c r="D125" s="63"/>
      <c r="E125" s="63"/>
      <c r="F125" s="63"/>
      <c r="G125" s="63"/>
    </row>
    <row r="126" customFormat="false" ht="15.75" hidden="true" customHeight="true" outlineLevel="0" collapsed="false">
      <c r="A126" s="63" t="n">
        <v>2021</v>
      </c>
      <c r="B126" s="79" t="s">
        <v>108</v>
      </c>
      <c r="C126" s="79"/>
      <c r="D126" s="63"/>
      <c r="E126" s="63"/>
      <c r="F126" s="63"/>
      <c r="G126" s="63"/>
    </row>
    <row r="127" customFormat="false" ht="15.75" hidden="true" customHeight="true" outlineLevel="0" collapsed="false">
      <c r="A127" s="63" t="n">
        <v>2021</v>
      </c>
      <c r="B127" s="79" t="s">
        <v>108</v>
      </c>
      <c r="C127" s="79"/>
      <c r="D127" s="63"/>
      <c r="E127" s="63"/>
      <c r="F127" s="63"/>
      <c r="G127" s="63"/>
    </row>
    <row r="128" customFormat="false" ht="15.75" hidden="true" customHeight="true" outlineLevel="0" collapsed="false">
      <c r="A128" s="63" t="n">
        <v>2021</v>
      </c>
      <c r="B128" s="79" t="s">
        <v>108</v>
      </c>
      <c r="C128" s="79"/>
      <c r="D128" s="63"/>
      <c r="E128" s="63"/>
      <c r="F128" s="63"/>
      <c r="G128" s="63"/>
    </row>
    <row r="129" customFormat="false" ht="15.75" hidden="true" customHeight="true" outlineLevel="0" collapsed="false">
      <c r="A129" s="63" t="n">
        <v>2021</v>
      </c>
      <c r="B129" s="79" t="s">
        <v>108</v>
      </c>
      <c r="C129" s="79"/>
      <c r="D129" s="63"/>
      <c r="E129" s="63"/>
      <c r="F129" s="63"/>
      <c r="G129" s="63"/>
    </row>
    <row r="130" customFormat="false" ht="15.75" hidden="true" customHeight="true" outlineLevel="0" collapsed="false">
      <c r="A130" s="99" t="s">
        <v>386</v>
      </c>
      <c r="B130" s="99"/>
      <c r="C130" s="99"/>
      <c r="D130" s="99"/>
      <c r="E130" s="99"/>
      <c r="F130" s="99"/>
      <c r="G130" s="99"/>
    </row>
    <row r="131" customFormat="false" ht="15.75" hidden="true" customHeight="true" outlineLevel="0" collapsed="false">
      <c r="A131" s="63" t="n">
        <v>2021</v>
      </c>
      <c r="B131" s="79" t="s">
        <v>137</v>
      </c>
      <c r="C131" s="79"/>
      <c r="D131" s="63"/>
      <c r="E131" s="63"/>
      <c r="F131" s="63"/>
      <c r="G131" s="63"/>
    </row>
    <row r="132" customFormat="false" ht="15.75" hidden="true" customHeight="true" outlineLevel="0" collapsed="false">
      <c r="A132" s="63" t="n">
        <v>2021</v>
      </c>
      <c r="B132" s="79" t="s">
        <v>137</v>
      </c>
      <c r="C132" s="79"/>
      <c r="D132" s="63"/>
      <c r="E132" s="63"/>
      <c r="F132" s="63"/>
      <c r="G132" s="63"/>
    </row>
    <row r="133" customFormat="false" ht="15.75" hidden="true" customHeight="true" outlineLevel="0" collapsed="false">
      <c r="A133" s="63" t="n">
        <v>2021</v>
      </c>
      <c r="B133" s="79" t="s">
        <v>137</v>
      </c>
      <c r="C133" s="79"/>
      <c r="D133" s="63"/>
      <c r="E133" s="63"/>
      <c r="F133" s="63"/>
      <c r="G133" s="63"/>
    </row>
    <row r="134" customFormat="false" ht="15.75" hidden="true" customHeight="true" outlineLevel="0" collapsed="false">
      <c r="A134" s="63" t="n">
        <v>2021</v>
      </c>
      <c r="B134" s="79" t="s">
        <v>137</v>
      </c>
      <c r="C134" s="79"/>
      <c r="D134" s="63"/>
      <c r="E134" s="63"/>
      <c r="F134" s="63"/>
      <c r="G134" s="63"/>
    </row>
    <row r="135" customFormat="false" ht="15.75" hidden="true" customHeight="true" outlineLevel="0" collapsed="false">
      <c r="A135" s="63" t="n">
        <v>2021</v>
      </c>
      <c r="B135" s="79" t="s">
        <v>137</v>
      </c>
      <c r="C135" s="79"/>
      <c r="D135" s="63"/>
      <c r="E135" s="63"/>
      <c r="F135" s="63"/>
      <c r="G135" s="63"/>
    </row>
    <row r="136" customFormat="false" ht="15.75" hidden="true" customHeight="true" outlineLevel="0" collapsed="false">
      <c r="A136" s="63" t="n">
        <v>2021</v>
      </c>
      <c r="B136" s="79" t="s">
        <v>137</v>
      </c>
      <c r="C136" s="79"/>
      <c r="D136" s="63"/>
      <c r="E136" s="63"/>
      <c r="F136" s="63"/>
      <c r="G136" s="63"/>
    </row>
    <row r="137" customFormat="false" ht="15.75" hidden="true" customHeight="true" outlineLevel="0" collapsed="false">
      <c r="A137" s="63" t="n">
        <v>2021</v>
      </c>
      <c r="B137" s="79" t="s">
        <v>137</v>
      </c>
      <c r="C137" s="79"/>
      <c r="D137" s="63"/>
      <c r="E137" s="63"/>
      <c r="F137" s="63"/>
      <c r="G137" s="63"/>
    </row>
    <row r="138" customFormat="false" ht="15.75" hidden="true" customHeight="true" outlineLevel="0" collapsed="false">
      <c r="A138" s="63" t="n">
        <v>2021</v>
      </c>
      <c r="B138" s="79" t="s">
        <v>137</v>
      </c>
      <c r="C138" s="79"/>
      <c r="D138" s="63"/>
      <c r="E138" s="63"/>
      <c r="F138" s="63"/>
      <c r="G138" s="63"/>
    </row>
    <row r="139" customFormat="false" ht="15.75" hidden="true" customHeight="true" outlineLevel="0" collapsed="false">
      <c r="A139" s="63" t="n">
        <v>2021</v>
      </c>
      <c r="B139" s="79" t="s">
        <v>137</v>
      </c>
      <c r="C139" s="79"/>
      <c r="D139" s="63"/>
      <c r="E139" s="63"/>
      <c r="F139" s="63"/>
      <c r="G139" s="63"/>
    </row>
    <row r="140" customFormat="false" ht="15.75" hidden="true" customHeight="true" outlineLevel="0" collapsed="false">
      <c r="A140" s="63" t="n">
        <v>2021</v>
      </c>
      <c r="B140" s="79" t="s">
        <v>137</v>
      </c>
      <c r="C140" s="79"/>
      <c r="D140" s="63"/>
      <c r="E140" s="63"/>
      <c r="F140" s="63"/>
      <c r="G140" s="63"/>
    </row>
    <row r="141" customFormat="false" ht="15.75" hidden="true" customHeight="true" outlineLevel="0" collapsed="false">
      <c r="A141" s="63" t="n">
        <v>2021</v>
      </c>
      <c r="B141" s="79" t="s">
        <v>137</v>
      </c>
      <c r="C141" s="79"/>
      <c r="D141" s="63"/>
      <c r="E141" s="63"/>
      <c r="F141" s="63"/>
      <c r="G141" s="63"/>
    </row>
    <row r="142" customFormat="false" ht="15.75" hidden="true" customHeight="true" outlineLevel="0" collapsed="false">
      <c r="A142" s="63" t="n">
        <v>2021</v>
      </c>
      <c r="B142" s="79" t="s">
        <v>137</v>
      </c>
      <c r="C142" s="79"/>
      <c r="D142" s="63"/>
      <c r="E142" s="63"/>
      <c r="F142" s="63"/>
      <c r="G142" s="63"/>
    </row>
    <row r="143" customFormat="false" ht="15.75" hidden="true" customHeight="true" outlineLevel="0" collapsed="false">
      <c r="A143" s="63" t="n">
        <v>2021</v>
      </c>
      <c r="B143" s="79" t="s">
        <v>137</v>
      </c>
      <c r="C143" s="79"/>
      <c r="D143" s="63"/>
      <c r="E143" s="63"/>
      <c r="F143" s="63"/>
      <c r="G143" s="63"/>
    </row>
    <row r="144" customFormat="false" ht="15.75" hidden="true" customHeight="true" outlineLevel="0" collapsed="false">
      <c r="A144" s="63" t="n">
        <v>2021</v>
      </c>
      <c r="B144" s="79" t="s">
        <v>137</v>
      </c>
      <c r="C144" s="79"/>
      <c r="D144" s="63"/>
      <c r="E144" s="63"/>
      <c r="F144" s="63"/>
      <c r="G144" s="63"/>
    </row>
    <row r="145" customFormat="false" ht="15.75" hidden="true" customHeight="true" outlineLevel="0" collapsed="false">
      <c r="A145" s="63" t="n">
        <v>2021</v>
      </c>
      <c r="B145" s="79" t="s">
        <v>137</v>
      </c>
      <c r="C145" s="79"/>
      <c r="D145" s="63"/>
      <c r="E145" s="63"/>
      <c r="F145" s="63"/>
      <c r="G145" s="63"/>
    </row>
    <row r="146" customFormat="false" ht="15.75" hidden="true" customHeight="true" outlineLevel="0" collapsed="false">
      <c r="A146" s="63" t="n">
        <v>2021</v>
      </c>
      <c r="B146" s="79" t="s">
        <v>137</v>
      </c>
      <c r="C146" s="79"/>
      <c r="D146" s="63"/>
      <c r="E146" s="63"/>
      <c r="F146" s="63"/>
      <c r="G146" s="63"/>
    </row>
    <row r="147" customFormat="false" ht="15.75" hidden="true" customHeight="true" outlineLevel="0" collapsed="false">
      <c r="A147" s="63" t="n">
        <v>2021</v>
      </c>
      <c r="B147" s="79" t="s">
        <v>137</v>
      </c>
      <c r="C147" s="79"/>
      <c r="D147" s="63"/>
      <c r="E147" s="63"/>
      <c r="F147" s="63"/>
      <c r="G147" s="63"/>
    </row>
    <row r="148" customFormat="false" ht="15.75" hidden="true" customHeight="true" outlineLevel="0" collapsed="false">
      <c r="A148" s="63" t="n">
        <v>2021</v>
      </c>
      <c r="B148" s="79" t="s">
        <v>137</v>
      </c>
      <c r="C148" s="79"/>
      <c r="D148" s="63"/>
      <c r="E148" s="63"/>
      <c r="F148" s="63"/>
      <c r="G148" s="63"/>
    </row>
    <row r="149" customFormat="false" ht="15.75" hidden="true" customHeight="true" outlineLevel="0" collapsed="false">
      <c r="A149" s="63" t="n">
        <v>2021</v>
      </c>
      <c r="B149" s="79" t="s">
        <v>137</v>
      </c>
      <c r="C149" s="79"/>
      <c r="D149" s="63"/>
      <c r="E149" s="63"/>
      <c r="F149" s="63"/>
      <c r="G149" s="63"/>
    </row>
    <row r="150" customFormat="false" ht="15.75" hidden="true" customHeight="true" outlineLevel="0" collapsed="false">
      <c r="A150" s="63" t="n">
        <v>2021</v>
      </c>
      <c r="B150" s="79" t="s">
        <v>137</v>
      </c>
      <c r="C150" s="79"/>
      <c r="D150" s="63"/>
      <c r="E150" s="63"/>
      <c r="F150" s="63"/>
      <c r="G150" s="63"/>
    </row>
    <row r="151" customFormat="false" ht="15.75" hidden="true" customHeight="true" outlineLevel="0" collapsed="false">
      <c r="A151" s="99" t="s">
        <v>387</v>
      </c>
      <c r="B151" s="99"/>
      <c r="C151" s="99"/>
      <c r="D151" s="99"/>
      <c r="E151" s="99"/>
      <c r="F151" s="99"/>
      <c r="G151" s="99"/>
    </row>
    <row r="152" customFormat="false" ht="15.75" hidden="true" customHeight="true" outlineLevel="0" collapsed="false">
      <c r="A152" s="63" t="n">
        <v>2021</v>
      </c>
      <c r="B152" s="79" t="s">
        <v>166</v>
      </c>
      <c r="C152" s="79"/>
      <c r="D152" s="63"/>
      <c r="E152" s="63"/>
      <c r="F152" s="63"/>
      <c r="G152" s="63"/>
    </row>
    <row r="153" customFormat="false" ht="15.75" hidden="true" customHeight="true" outlineLevel="0" collapsed="false">
      <c r="A153" s="63" t="n">
        <v>2021</v>
      </c>
      <c r="B153" s="79" t="s">
        <v>166</v>
      </c>
      <c r="C153" s="79"/>
      <c r="D153" s="63"/>
      <c r="E153" s="63"/>
      <c r="F153" s="63"/>
      <c r="G153" s="63"/>
    </row>
    <row r="154" customFormat="false" ht="15.75" hidden="true" customHeight="true" outlineLevel="0" collapsed="false">
      <c r="A154" s="63" t="n">
        <v>2021</v>
      </c>
      <c r="B154" s="79" t="s">
        <v>166</v>
      </c>
      <c r="C154" s="79"/>
      <c r="D154" s="63"/>
      <c r="E154" s="63"/>
      <c r="F154" s="63"/>
      <c r="G154" s="63"/>
    </row>
    <row r="155" customFormat="false" ht="15.75" hidden="true" customHeight="true" outlineLevel="0" collapsed="false">
      <c r="A155" s="63" t="n">
        <v>2021</v>
      </c>
      <c r="B155" s="79" t="s">
        <v>166</v>
      </c>
      <c r="C155" s="79"/>
      <c r="D155" s="63"/>
      <c r="E155" s="63"/>
      <c r="F155" s="63"/>
      <c r="G155" s="63"/>
    </row>
    <row r="156" customFormat="false" ht="15.75" hidden="true" customHeight="true" outlineLevel="0" collapsed="false">
      <c r="A156" s="63" t="n">
        <v>2021</v>
      </c>
      <c r="B156" s="79" t="s">
        <v>166</v>
      </c>
      <c r="C156" s="79"/>
      <c r="D156" s="63"/>
      <c r="E156" s="63"/>
      <c r="F156" s="63"/>
      <c r="G156" s="63"/>
    </row>
    <row r="157" customFormat="false" ht="15.75" hidden="true" customHeight="true" outlineLevel="0" collapsed="false">
      <c r="A157" s="63" t="n">
        <v>2021</v>
      </c>
      <c r="B157" s="79" t="s">
        <v>166</v>
      </c>
      <c r="C157" s="79"/>
      <c r="D157" s="63"/>
      <c r="E157" s="63"/>
      <c r="F157" s="63"/>
      <c r="G157" s="63"/>
    </row>
    <row r="158" customFormat="false" ht="15.75" hidden="true" customHeight="true" outlineLevel="0" collapsed="false">
      <c r="A158" s="63" t="n">
        <v>2021</v>
      </c>
      <c r="B158" s="79" t="s">
        <v>166</v>
      </c>
      <c r="C158" s="79"/>
      <c r="D158" s="63"/>
      <c r="E158" s="63"/>
      <c r="F158" s="63"/>
      <c r="G158" s="63"/>
    </row>
    <row r="159" customFormat="false" ht="15.75" hidden="true" customHeight="true" outlineLevel="0" collapsed="false">
      <c r="A159" s="63" t="n">
        <v>2021</v>
      </c>
      <c r="B159" s="79" t="s">
        <v>166</v>
      </c>
      <c r="C159" s="79"/>
      <c r="D159" s="63"/>
      <c r="E159" s="63"/>
      <c r="F159" s="63"/>
      <c r="G159" s="63"/>
    </row>
    <row r="160" customFormat="false" ht="15.75" hidden="true" customHeight="true" outlineLevel="0" collapsed="false">
      <c r="A160" s="63" t="n">
        <v>2021</v>
      </c>
      <c r="B160" s="79" t="s">
        <v>166</v>
      </c>
      <c r="C160" s="79"/>
      <c r="D160" s="63"/>
      <c r="E160" s="63"/>
      <c r="F160" s="63"/>
      <c r="G160" s="63"/>
    </row>
    <row r="161" customFormat="false" ht="15.75" hidden="true" customHeight="true" outlineLevel="0" collapsed="false">
      <c r="A161" s="63" t="n">
        <v>2021</v>
      </c>
      <c r="B161" s="79" t="s">
        <v>166</v>
      </c>
      <c r="C161" s="79"/>
      <c r="D161" s="63"/>
      <c r="E161" s="63"/>
      <c r="F161" s="63"/>
      <c r="G161" s="63"/>
    </row>
    <row r="162" customFormat="false" ht="15.75" hidden="true" customHeight="true" outlineLevel="0" collapsed="false">
      <c r="A162" s="63" t="n">
        <v>2021</v>
      </c>
      <c r="B162" s="79" t="s">
        <v>166</v>
      </c>
      <c r="C162" s="79"/>
      <c r="D162" s="63"/>
      <c r="E162" s="63"/>
      <c r="F162" s="63"/>
      <c r="G162" s="63"/>
    </row>
    <row r="163" customFormat="false" ht="15.75" hidden="true" customHeight="true" outlineLevel="0" collapsed="false">
      <c r="A163" s="63" t="n">
        <v>2021</v>
      </c>
      <c r="B163" s="79" t="s">
        <v>166</v>
      </c>
      <c r="C163" s="79"/>
      <c r="D163" s="63"/>
      <c r="E163" s="63"/>
      <c r="F163" s="63"/>
      <c r="G163" s="63"/>
    </row>
    <row r="164" customFormat="false" ht="15.75" hidden="true" customHeight="true" outlineLevel="0" collapsed="false">
      <c r="A164" s="63" t="n">
        <v>2021</v>
      </c>
      <c r="B164" s="79" t="s">
        <v>166</v>
      </c>
      <c r="C164" s="79"/>
      <c r="D164" s="63"/>
      <c r="E164" s="63"/>
      <c r="F164" s="63"/>
      <c r="G164" s="63"/>
    </row>
    <row r="165" customFormat="false" ht="15.75" hidden="true" customHeight="true" outlineLevel="0" collapsed="false">
      <c r="A165" s="63" t="n">
        <v>2021</v>
      </c>
      <c r="B165" s="79" t="s">
        <v>166</v>
      </c>
      <c r="C165" s="79"/>
      <c r="D165" s="63"/>
      <c r="E165" s="63"/>
      <c r="F165" s="63"/>
      <c r="G165" s="63"/>
    </row>
    <row r="166" customFormat="false" ht="15.75" hidden="true" customHeight="true" outlineLevel="0" collapsed="false">
      <c r="A166" s="63" t="n">
        <v>2021</v>
      </c>
      <c r="B166" s="79" t="s">
        <v>166</v>
      </c>
      <c r="C166" s="79"/>
      <c r="D166" s="63"/>
      <c r="E166" s="63"/>
      <c r="F166" s="63"/>
      <c r="G166" s="63"/>
    </row>
    <row r="167" customFormat="false" ht="15.75" hidden="true" customHeight="true" outlineLevel="0" collapsed="false">
      <c r="A167" s="63" t="n">
        <v>2021</v>
      </c>
      <c r="B167" s="79" t="s">
        <v>166</v>
      </c>
      <c r="C167" s="79"/>
      <c r="D167" s="63"/>
      <c r="E167" s="63"/>
      <c r="F167" s="63"/>
      <c r="G167" s="63"/>
    </row>
    <row r="168" customFormat="false" ht="15.75" hidden="true" customHeight="true" outlineLevel="0" collapsed="false">
      <c r="A168" s="63" t="n">
        <v>2021</v>
      </c>
      <c r="B168" s="79" t="s">
        <v>166</v>
      </c>
      <c r="C168" s="79"/>
      <c r="D168" s="63"/>
      <c r="E168" s="63"/>
      <c r="F168" s="63"/>
      <c r="G168" s="63"/>
    </row>
    <row r="169" customFormat="false" ht="15.75" hidden="true" customHeight="true" outlineLevel="0" collapsed="false">
      <c r="A169" s="63" t="n">
        <v>2021</v>
      </c>
      <c r="B169" s="79" t="s">
        <v>166</v>
      </c>
      <c r="C169" s="79"/>
      <c r="D169" s="63"/>
      <c r="E169" s="63"/>
      <c r="F169" s="63"/>
      <c r="G169" s="63"/>
    </row>
    <row r="170" customFormat="false" ht="15.75" hidden="true" customHeight="true" outlineLevel="0" collapsed="false">
      <c r="A170" s="63" t="n">
        <v>2021</v>
      </c>
      <c r="B170" s="79" t="s">
        <v>166</v>
      </c>
      <c r="C170" s="79"/>
      <c r="D170" s="63"/>
      <c r="E170" s="63"/>
      <c r="F170" s="63"/>
      <c r="G170" s="63"/>
    </row>
    <row r="171" customFormat="false" ht="15.75" hidden="true" customHeight="true" outlineLevel="0" collapsed="false">
      <c r="A171" s="63" t="n">
        <v>2021</v>
      </c>
      <c r="B171" s="79" t="s">
        <v>166</v>
      </c>
      <c r="C171" s="79"/>
      <c r="D171" s="63"/>
      <c r="E171" s="63"/>
      <c r="F171" s="63"/>
      <c r="G171" s="63"/>
    </row>
    <row r="172" customFormat="false" ht="15.75" hidden="true" customHeight="true" outlineLevel="0" collapsed="false">
      <c r="A172" s="99" t="s">
        <v>388</v>
      </c>
      <c r="B172" s="99"/>
      <c r="C172" s="99"/>
      <c r="D172" s="99"/>
      <c r="E172" s="99"/>
      <c r="F172" s="99"/>
      <c r="G172" s="99"/>
    </row>
    <row r="173" customFormat="false" ht="15.75" hidden="true" customHeight="true" outlineLevel="0" collapsed="false">
      <c r="A173" s="63" t="n">
        <v>2021</v>
      </c>
      <c r="B173" s="79" t="s">
        <v>334</v>
      </c>
      <c r="C173" s="79"/>
      <c r="D173" s="63"/>
      <c r="E173" s="63"/>
      <c r="F173" s="63"/>
      <c r="G173" s="63"/>
    </row>
    <row r="174" customFormat="false" ht="15.75" hidden="true" customHeight="true" outlineLevel="0" collapsed="false">
      <c r="A174" s="63" t="n">
        <v>2021</v>
      </c>
      <c r="B174" s="79" t="s">
        <v>334</v>
      </c>
      <c r="C174" s="79"/>
      <c r="D174" s="63"/>
      <c r="E174" s="63"/>
      <c r="F174" s="63"/>
      <c r="G174" s="63"/>
    </row>
    <row r="175" customFormat="false" ht="15.75" hidden="true" customHeight="true" outlineLevel="0" collapsed="false">
      <c r="A175" s="63" t="n">
        <v>2021</v>
      </c>
      <c r="B175" s="79" t="s">
        <v>334</v>
      </c>
      <c r="C175" s="79"/>
      <c r="D175" s="63"/>
      <c r="E175" s="63"/>
      <c r="F175" s="63"/>
      <c r="G175" s="63"/>
    </row>
    <row r="176" customFormat="false" ht="15.75" hidden="true" customHeight="true" outlineLevel="0" collapsed="false">
      <c r="A176" s="63" t="n">
        <v>2021</v>
      </c>
      <c r="B176" s="79" t="s">
        <v>334</v>
      </c>
      <c r="C176" s="79"/>
      <c r="D176" s="63"/>
      <c r="E176" s="63"/>
      <c r="F176" s="63"/>
      <c r="G176" s="63"/>
    </row>
    <row r="177" customFormat="false" ht="15.75" hidden="true" customHeight="true" outlineLevel="0" collapsed="false">
      <c r="A177" s="63" t="n">
        <v>2021</v>
      </c>
      <c r="B177" s="79" t="s">
        <v>334</v>
      </c>
      <c r="C177" s="79"/>
      <c r="D177" s="63"/>
      <c r="E177" s="63"/>
      <c r="F177" s="63"/>
      <c r="G177" s="63"/>
    </row>
    <row r="178" customFormat="false" ht="15.75" hidden="true" customHeight="true" outlineLevel="0" collapsed="false">
      <c r="A178" s="63" t="n">
        <v>2021</v>
      </c>
      <c r="B178" s="79" t="s">
        <v>334</v>
      </c>
      <c r="C178" s="79"/>
      <c r="D178" s="63"/>
      <c r="E178" s="63"/>
      <c r="F178" s="63"/>
      <c r="G178" s="63"/>
    </row>
    <row r="179" customFormat="false" ht="15.75" hidden="true" customHeight="true" outlineLevel="0" collapsed="false">
      <c r="A179" s="63" t="n">
        <v>2021</v>
      </c>
      <c r="B179" s="79" t="s">
        <v>334</v>
      </c>
      <c r="C179" s="79"/>
      <c r="D179" s="63"/>
      <c r="E179" s="63"/>
      <c r="F179" s="63"/>
      <c r="G179" s="63"/>
    </row>
    <row r="180" customFormat="false" ht="15.75" hidden="true" customHeight="true" outlineLevel="0" collapsed="false">
      <c r="A180" s="63" t="n">
        <v>2021</v>
      </c>
      <c r="B180" s="79" t="s">
        <v>334</v>
      </c>
      <c r="C180" s="79"/>
      <c r="D180" s="63"/>
      <c r="E180" s="63"/>
      <c r="F180" s="63"/>
      <c r="G180" s="63"/>
    </row>
    <row r="181" customFormat="false" ht="15.75" hidden="true" customHeight="true" outlineLevel="0" collapsed="false">
      <c r="A181" s="63" t="n">
        <v>2021</v>
      </c>
      <c r="B181" s="79" t="s">
        <v>334</v>
      </c>
      <c r="C181" s="79"/>
      <c r="D181" s="63"/>
      <c r="E181" s="63"/>
      <c r="F181" s="63"/>
      <c r="G181" s="63"/>
    </row>
    <row r="182" customFormat="false" ht="15.75" hidden="true" customHeight="true" outlineLevel="0" collapsed="false">
      <c r="A182" s="63" t="n">
        <v>2021</v>
      </c>
      <c r="B182" s="79" t="s">
        <v>334</v>
      </c>
      <c r="C182" s="79"/>
      <c r="D182" s="63"/>
      <c r="E182" s="63"/>
      <c r="F182" s="63"/>
      <c r="G182" s="63"/>
    </row>
    <row r="183" customFormat="false" ht="15.75" hidden="true" customHeight="true" outlineLevel="0" collapsed="false">
      <c r="A183" s="63" t="n">
        <v>2021</v>
      </c>
      <c r="B183" s="79" t="s">
        <v>334</v>
      </c>
      <c r="C183" s="79"/>
      <c r="D183" s="63"/>
      <c r="E183" s="63"/>
      <c r="F183" s="63"/>
      <c r="G183" s="63"/>
    </row>
    <row r="184" customFormat="false" ht="15.75" hidden="true" customHeight="true" outlineLevel="0" collapsed="false">
      <c r="A184" s="63" t="n">
        <v>2021</v>
      </c>
      <c r="B184" s="79" t="s">
        <v>334</v>
      </c>
      <c r="C184" s="79"/>
      <c r="D184" s="63"/>
      <c r="E184" s="63"/>
      <c r="F184" s="63"/>
      <c r="G184" s="63"/>
    </row>
    <row r="185" customFormat="false" ht="15.75" hidden="true" customHeight="true" outlineLevel="0" collapsed="false">
      <c r="A185" s="63" t="n">
        <v>2021</v>
      </c>
      <c r="B185" s="79" t="s">
        <v>334</v>
      </c>
      <c r="C185" s="79"/>
      <c r="D185" s="63"/>
      <c r="E185" s="63"/>
      <c r="F185" s="63"/>
      <c r="G185" s="63"/>
    </row>
    <row r="186" customFormat="false" ht="15.75" hidden="true" customHeight="true" outlineLevel="0" collapsed="false">
      <c r="A186" s="63" t="n">
        <v>2021</v>
      </c>
      <c r="B186" s="79" t="s">
        <v>334</v>
      </c>
      <c r="C186" s="79"/>
      <c r="D186" s="63"/>
      <c r="E186" s="63"/>
      <c r="F186" s="63"/>
      <c r="G186" s="63"/>
    </row>
    <row r="187" customFormat="false" ht="15.75" hidden="true" customHeight="true" outlineLevel="0" collapsed="false">
      <c r="A187" s="63" t="n">
        <v>2021</v>
      </c>
      <c r="B187" s="79" t="s">
        <v>334</v>
      </c>
      <c r="C187" s="79"/>
      <c r="D187" s="63"/>
      <c r="E187" s="63"/>
      <c r="F187" s="63"/>
      <c r="G187" s="63"/>
    </row>
    <row r="188" customFormat="false" ht="15.75" hidden="true" customHeight="true" outlineLevel="0" collapsed="false">
      <c r="A188" s="63" t="n">
        <v>2021</v>
      </c>
      <c r="B188" s="79" t="s">
        <v>334</v>
      </c>
      <c r="C188" s="79"/>
      <c r="D188" s="63"/>
      <c r="E188" s="63"/>
      <c r="F188" s="63"/>
      <c r="G188" s="63"/>
    </row>
    <row r="189" customFormat="false" ht="15.75" hidden="true" customHeight="true" outlineLevel="0" collapsed="false">
      <c r="A189" s="63" t="n">
        <v>2021</v>
      </c>
      <c r="B189" s="79" t="s">
        <v>334</v>
      </c>
      <c r="C189" s="79"/>
      <c r="D189" s="63"/>
      <c r="E189" s="63"/>
      <c r="F189" s="63"/>
      <c r="G189" s="63"/>
    </row>
    <row r="190" customFormat="false" ht="15.75" hidden="true" customHeight="true" outlineLevel="0" collapsed="false">
      <c r="A190" s="63" t="n">
        <v>2021</v>
      </c>
      <c r="B190" s="79" t="s">
        <v>334</v>
      </c>
      <c r="C190" s="79"/>
      <c r="D190" s="63"/>
      <c r="E190" s="63"/>
      <c r="F190" s="63"/>
      <c r="G190" s="63"/>
    </row>
    <row r="191" customFormat="false" ht="15.75" hidden="true" customHeight="true" outlineLevel="0" collapsed="false">
      <c r="A191" s="63" t="n">
        <v>2021</v>
      </c>
      <c r="B191" s="79" t="s">
        <v>334</v>
      </c>
      <c r="C191" s="79"/>
      <c r="D191" s="63"/>
      <c r="E191" s="63"/>
      <c r="F191" s="63"/>
      <c r="G191" s="63"/>
    </row>
    <row r="192" customFormat="false" ht="15.75" hidden="true" customHeight="true" outlineLevel="0" collapsed="false">
      <c r="A192" s="63" t="n">
        <v>2021</v>
      </c>
      <c r="B192" s="79" t="s">
        <v>334</v>
      </c>
      <c r="C192" s="79"/>
      <c r="D192" s="63"/>
      <c r="E192" s="63"/>
      <c r="F192" s="63"/>
      <c r="G192" s="63"/>
    </row>
    <row r="193" customFormat="false" ht="15.75" hidden="true" customHeight="true" outlineLevel="0" collapsed="false">
      <c r="A193" s="99" t="s">
        <v>389</v>
      </c>
      <c r="B193" s="99"/>
      <c r="C193" s="99"/>
      <c r="D193" s="99"/>
      <c r="E193" s="99"/>
      <c r="F193" s="99"/>
      <c r="G193" s="99"/>
    </row>
    <row r="194" customFormat="false" ht="15.75" hidden="true" customHeight="true" outlineLevel="0" collapsed="false">
      <c r="A194" s="63" t="n">
        <v>2021</v>
      </c>
      <c r="B194" s="79" t="s">
        <v>218</v>
      </c>
      <c r="C194" s="79"/>
      <c r="D194" s="63"/>
      <c r="E194" s="63"/>
      <c r="F194" s="63"/>
      <c r="G194" s="63"/>
    </row>
    <row r="195" customFormat="false" ht="15.75" hidden="true" customHeight="true" outlineLevel="0" collapsed="false">
      <c r="A195" s="63" t="n">
        <v>2021</v>
      </c>
      <c r="B195" s="79" t="s">
        <v>218</v>
      </c>
      <c r="C195" s="79"/>
      <c r="D195" s="63"/>
      <c r="E195" s="63"/>
      <c r="F195" s="63"/>
      <c r="G195" s="63"/>
    </row>
    <row r="196" customFormat="false" ht="15.75" hidden="true" customHeight="true" outlineLevel="0" collapsed="false">
      <c r="A196" s="63" t="n">
        <v>2021</v>
      </c>
      <c r="B196" s="79" t="s">
        <v>218</v>
      </c>
      <c r="C196" s="79"/>
      <c r="D196" s="63"/>
      <c r="E196" s="63"/>
      <c r="F196" s="63"/>
      <c r="G196" s="63"/>
    </row>
    <row r="197" customFormat="false" ht="15.75" hidden="true" customHeight="true" outlineLevel="0" collapsed="false">
      <c r="A197" s="63" t="n">
        <v>2021</v>
      </c>
      <c r="B197" s="79" t="s">
        <v>218</v>
      </c>
      <c r="C197" s="79"/>
      <c r="D197" s="63"/>
      <c r="E197" s="63"/>
      <c r="F197" s="63"/>
      <c r="G197" s="63"/>
    </row>
    <row r="198" customFormat="false" ht="15.75" hidden="true" customHeight="true" outlineLevel="0" collapsed="false">
      <c r="A198" s="63" t="n">
        <v>2021</v>
      </c>
      <c r="B198" s="79" t="s">
        <v>218</v>
      </c>
      <c r="C198" s="79"/>
      <c r="D198" s="63"/>
      <c r="E198" s="63"/>
      <c r="F198" s="63"/>
      <c r="G198" s="63"/>
    </row>
    <row r="199" customFormat="false" ht="15.75" hidden="true" customHeight="true" outlineLevel="0" collapsed="false">
      <c r="A199" s="63" t="n">
        <v>2021</v>
      </c>
      <c r="B199" s="79" t="s">
        <v>218</v>
      </c>
      <c r="C199" s="79"/>
      <c r="D199" s="63"/>
      <c r="E199" s="63"/>
      <c r="F199" s="63"/>
      <c r="G199" s="63"/>
    </row>
    <row r="200" customFormat="false" ht="15.75" hidden="true" customHeight="true" outlineLevel="0" collapsed="false">
      <c r="A200" s="63" t="n">
        <v>2021</v>
      </c>
      <c r="B200" s="79" t="s">
        <v>218</v>
      </c>
      <c r="C200" s="79"/>
      <c r="D200" s="63"/>
      <c r="E200" s="63"/>
      <c r="F200" s="63"/>
      <c r="G200" s="63"/>
    </row>
    <row r="201" customFormat="false" ht="15.75" hidden="true" customHeight="true" outlineLevel="0" collapsed="false">
      <c r="A201" s="63" t="n">
        <v>2021</v>
      </c>
      <c r="B201" s="79" t="s">
        <v>218</v>
      </c>
      <c r="C201" s="79"/>
      <c r="D201" s="63"/>
      <c r="E201" s="63"/>
      <c r="F201" s="63"/>
      <c r="G201" s="63"/>
    </row>
    <row r="202" customFormat="false" ht="15.75" hidden="true" customHeight="true" outlineLevel="0" collapsed="false">
      <c r="A202" s="63" t="n">
        <v>2021</v>
      </c>
      <c r="B202" s="79" t="s">
        <v>218</v>
      </c>
      <c r="C202" s="79"/>
      <c r="D202" s="63"/>
      <c r="E202" s="63"/>
      <c r="F202" s="63"/>
      <c r="G202" s="63"/>
    </row>
    <row r="203" customFormat="false" ht="15.75" hidden="true" customHeight="true" outlineLevel="0" collapsed="false">
      <c r="A203" s="63" t="n">
        <v>2021</v>
      </c>
      <c r="B203" s="79" t="s">
        <v>218</v>
      </c>
      <c r="C203" s="79"/>
      <c r="D203" s="63"/>
      <c r="E203" s="63"/>
      <c r="F203" s="63"/>
      <c r="G203" s="63"/>
    </row>
    <row r="204" customFormat="false" ht="15.75" hidden="true" customHeight="true" outlineLevel="0" collapsed="false">
      <c r="A204" s="63" t="n">
        <v>2021</v>
      </c>
      <c r="B204" s="79" t="s">
        <v>218</v>
      </c>
      <c r="C204" s="79"/>
      <c r="D204" s="63"/>
      <c r="E204" s="63"/>
      <c r="F204" s="63"/>
      <c r="G204" s="63"/>
    </row>
    <row r="205" customFormat="false" ht="15.75" hidden="true" customHeight="true" outlineLevel="0" collapsed="false">
      <c r="A205" s="63" t="n">
        <v>2021</v>
      </c>
      <c r="B205" s="79" t="s">
        <v>218</v>
      </c>
      <c r="C205" s="79"/>
      <c r="D205" s="63"/>
      <c r="E205" s="63"/>
      <c r="F205" s="63"/>
      <c r="G205" s="63"/>
    </row>
    <row r="206" customFormat="false" ht="15.75" hidden="true" customHeight="true" outlineLevel="0" collapsed="false">
      <c r="A206" s="63" t="n">
        <v>2021</v>
      </c>
      <c r="B206" s="79" t="s">
        <v>218</v>
      </c>
      <c r="C206" s="79"/>
      <c r="D206" s="63"/>
      <c r="E206" s="63"/>
      <c r="F206" s="63"/>
      <c r="G206" s="63"/>
    </row>
    <row r="207" customFormat="false" ht="15.75" hidden="true" customHeight="true" outlineLevel="0" collapsed="false">
      <c r="A207" s="63" t="n">
        <v>2021</v>
      </c>
      <c r="B207" s="79" t="s">
        <v>218</v>
      </c>
      <c r="C207" s="79"/>
      <c r="D207" s="63"/>
      <c r="E207" s="63"/>
      <c r="F207" s="63"/>
      <c r="G207" s="63"/>
    </row>
    <row r="208" customFormat="false" ht="15.75" hidden="true" customHeight="true" outlineLevel="0" collapsed="false">
      <c r="A208" s="63" t="n">
        <v>2021</v>
      </c>
      <c r="B208" s="79" t="s">
        <v>218</v>
      </c>
      <c r="C208" s="79"/>
      <c r="D208" s="63"/>
      <c r="E208" s="63"/>
      <c r="F208" s="63"/>
      <c r="G208" s="63"/>
    </row>
    <row r="209" customFormat="false" ht="15.75" hidden="true" customHeight="true" outlineLevel="0" collapsed="false">
      <c r="A209" s="63" t="n">
        <v>2021</v>
      </c>
      <c r="B209" s="79" t="s">
        <v>218</v>
      </c>
      <c r="C209" s="79"/>
      <c r="D209" s="63"/>
      <c r="E209" s="63"/>
      <c r="F209" s="63"/>
      <c r="G209" s="63"/>
    </row>
    <row r="210" customFormat="false" ht="15.75" hidden="true" customHeight="true" outlineLevel="0" collapsed="false">
      <c r="A210" s="63" t="n">
        <v>2021</v>
      </c>
      <c r="B210" s="79" t="s">
        <v>218</v>
      </c>
      <c r="C210" s="79"/>
      <c r="D210" s="63"/>
      <c r="E210" s="63"/>
      <c r="F210" s="63"/>
      <c r="G210" s="63"/>
    </row>
    <row r="211" customFormat="false" ht="15.75" hidden="true" customHeight="true" outlineLevel="0" collapsed="false">
      <c r="A211" s="63" t="n">
        <v>2021</v>
      </c>
      <c r="B211" s="79" t="s">
        <v>218</v>
      </c>
      <c r="C211" s="79"/>
      <c r="D211" s="63"/>
      <c r="E211" s="63"/>
      <c r="F211" s="63"/>
      <c r="G211" s="63"/>
    </row>
    <row r="212" customFormat="false" ht="15.75" hidden="true" customHeight="true" outlineLevel="0" collapsed="false">
      <c r="A212" s="63" t="n">
        <v>2021</v>
      </c>
      <c r="B212" s="79" t="s">
        <v>218</v>
      </c>
      <c r="C212" s="79"/>
      <c r="D212" s="63"/>
      <c r="E212" s="63"/>
      <c r="F212" s="63"/>
      <c r="G212" s="63"/>
    </row>
    <row r="213" customFormat="false" ht="15.75" hidden="true" customHeight="true" outlineLevel="0" collapsed="false">
      <c r="A213" s="63" t="n">
        <v>2021</v>
      </c>
      <c r="B213" s="79" t="s">
        <v>218</v>
      </c>
      <c r="C213" s="79"/>
      <c r="D213" s="63"/>
      <c r="E213" s="63"/>
      <c r="F213" s="63"/>
      <c r="G213" s="63"/>
    </row>
    <row r="214" customFormat="false" ht="15.75" hidden="true" customHeight="true" outlineLevel="0" collapsed="false">
      <c r="A214" s="99" t="s">
        <v>390</v>
      </c>
      <c r="B214" s="99"/>
      <c r="C214" s="99"/>
      <c r="D214" s="99"/>
      <c r="E214" s="99"/>
      <c r="F214" s="99"/>
      <c r="G214" s="99"/>
    </row>
    <row r="215" customFormat="false" ht="15.75" hidden="true" customHeight="true" outlineLevel="0" collapsed="false">
      <c r="A215" s="63" t="n">
        <v>2021</v>
      </c>
      <c r="B215" s="79" t="s">
        <v>244</v>
      </c>
      <c r="C215" s="79"/>
      <c r="D215" s="63"/>
      <c r="E215" s="63"/>
      <c r="F215" s="63"/>
      <c r="G215" s="63"/>
    </row>
    <row r="216" customFormat="false" ht="15.75" hidden="true" customHeight="true" outlineLevel="0" collapsed="false">
      <c r="A216" s="63" t="n">
        <v>2021</v>
      </c>
      <c r="B216" s="79" t="s">
        <v>244</v>
      </c>
      <c r="C216" s="79"/>
      <c r="D216" s="63"/>
      <c r="E216" s="63"/>
      <c r="F216" s="63"/>
      <c r="G216" s="63"/>
    </row>
    <row r="217" customFormat="false" ht="15.75" hidden="true" customHeight="true" outlineLevel="0" collapsed="false">
      <c r="A217" s="63" t="n">
        <v>2021</v>
      </c>
      <c r="B217" s="79" t="s">
        <v>244</v>
      </c>
      <c r="C217" s="79"/>
      <c r="D217" s="63"/>
      <c r="E217" s="63"/>
      <c r="F217" s="63"/>
      <c r="G217" s="63"/>
    </row>
    <row r="218" customFormat="false" ht="15.75" hidden="true" customHeight="true" outlineLevel="0" collapsed="false">
      <c r="A218" s="63" t="n">
        <v>2021</v>
      </c>
      <c r="B218" s="79" t="s">
        <v>244</v>
      </c>
      <c r="C218" s="79"/>
      <c r="D218" s="63"/>
      <c r="E218" s="63"/>
      <c r="F218" s="63"/>
      <c r="G218" s="63"/>
    </row>
    <row r="219" customFormat="false" ht="15.75" hidden="true" customHeight="true" outlineLevel="0" collapsed="false">
      <c r="A219" s="63" t="n">
        <v>2021</v>
      </c>
      <c r="B219" s="79" t="s">
        <v>244</v>
      </c>
      <c r="C219" s="79"/>
      <c r="D219" s="63"/>
      <c r="E219" s="63"/>
      <c r="F219" s="63"/>
      <c r="G219" s="63"/>
    </row>
    <row r="220" customFormat="false" ht="15.75" hidden="true" customHeight="true" outlineLevel="0" collapsed="false">
      <c r="A220" s="63" t="n">
        <v>2021</v>
      </c>
      <c r="B220" s="79" t="s">
        <v>244</v>
      </c>
      <c r="C220" s="79"/>
      <c r="D220" s="63"/>
      <c r="E220" s="63"/>
      <c r="F220" s="63"/>
      <c r="G220" s="63"/>
    </row>
    <row r="221" customFormat="false" ht="15.75" hidden="true" customHeight="true" outlineLevel="0" collapsed="false">
      <c r="A221" s="63" t="n">
        <v>2021</v>
      </c>
      <c r="B221" s="79" t="s">
        <v>244</v>
      </c>
      <c r="C221" s="79"/>
      <c r="D221" s="63"/>
      <c r="E221" s="63"/>
      <c r="F221" s="63"/>
      <c r="G221" s="63"/>
    </row>
    <row r="222" customFormat="false" ht="15.75" hidden="true" customHeight="true" outlineLevel="0" collapsed="false">
      <c r="A222" s="63" t="n">
        <v>2021</v>
      </c>
      <c r="B222" s="79" t="s">
        <v>244</v>
      </c>
      <c r="C222" s="79"/>
      <c r="D222" s="63"/>
      <c r="E222" s="63"/>
      <c r="F222" s="63"/>
      <c r="G222" s="63"/>
    </row>
    <row r="223" customFormat="false" ht="15.75" hidden="true" customHeight="true" outlineLevel="0" collapsed="false">
      <c r="A223" s="63" t="n">
        <v>2021</v>
      </c>
      <c r="B223" s="79" t="s">
        <v>244</v>
      </c>
      <c r="C223" s="79"/>
      <c r="D223" s="63"/>
      <c r="E223" s="63"/>
      <c r="F223" s="63"/>
      <c r="G223" s="63"/>
    </row>
    <row r="224" customFormat="false" ht="15.75" hidden="true" customHeight="true" outlineLevel="0" collapsed="false">
      <c r="A224" s="63" t="n">
        <v>2021</v>
      </c>
      <c r="B224" s="79" t="s">
        <v>244</v>
      </c>
      <c r="C224" s="79"/>
      <c r="D224" s="63"/>
      <c r="E224" s="63"/>
      <c r="F224" s="63"/>
      <c r="G224" s="63"/>
    </row>
    <row r="225" customFormat="false" ht="15.75" hidden="true" customHeight="true" outlineLevel="0" collapsed="false">
      <c r="A225" s="63" t="n">
        <v>2021</v>
      </c>
      <c r="B225" s="79" t="s">
        <v>244</v>
      </c>
      <c r="C225" s="79"/>
      <c r="D225" s="63"/>
      <c r="E225" s="63"/>
      <c r="F225" s="63"/>
      <c r="G225" s="63"/>
    </row>
    <row r="226" customFormat="false" ht="15.75" hidden="true" customHeight="true" outlineLevel="0" collapsed="false">
      <c r="A226" s="63" t="n">
        <v>2021</v>
      </c>
      <c r="B226" s="79" t="s">
        <v>244</v>
      </c>
      <c r="C226" s="79"/>
      <c r="D226" s="63"/>
      <c r="E226" s="63"/>
      <c r="F226" s="63"/>
      <c r="G226" s="63"/>
    </row>
    <row r="227" customFormat="false" ht="15.75" hidden="true" customHeight="true" outlineLevel="0" collapsed="false">
      <c r="A227" s="63" t="n">
        <v>2021</v>
      </c>
      <c r="B227" s="79" t="s">
        <v>244</v>
      </c>
      <c r="C227" s="79"/>
      <c r="D227" s="63"/>
      <c r="E227" s="63"/>
      <c r="F227" s="63"/>
      <c r="G227" s="63"/>
    </row>
    <row r="228" customFormat="false" ht="15.75" hidden="true" customHeight="true" outlineLevel="0" collapsed="false">
      <c r="A228" s="63" t="n">
        <v>2021</v>
      </c>
      <c r="B228" s="79" t="s">
        <v>244</v>
      </c>
      <c r="C228" s="79"/>
      <c r="D228" s="63"/>
      <c r="E228" s="63"/>
      <c r="F228" s="63"/>
      <c r="G228" s="63"/>
    </row>
    <row r="229" customFormat="false" ht="15.75" hidden="true" customHeight="true" outlineLevel="0" collapsed="false">
      <c r="A229" s="63" t="n">
        <v>2021</v>
      </c>
      <c r="B229" s="79" t="s">
        <v>244</v>
      </c>
      <c r="C229" s="79"/>
      <c r="D229" s="63"/>
      <c r="E229" s="63"/>
      <c r="F229" s="63"/>
      <c r="G229" s="63"/>
    </row>
    <row r="230" customFormat="false" ht="15.75" hidden="true" customHeight="true" outlineLevel="0" collapsed="false">
      <c r="A230" s="63" t="n">
        <v>2021</v>
      </c>
      <c r="B230" s="79" t="s">
        <v>244</v>
      </c>
      <c r="C230" s="79"/>
      <c r="D230" s="63"/>
      <c r="E230" s="63"/>
      <c r="F230" s="63"/>
      <c r="G230" s="63"/>
    </row>
    <row r="231" customFormat="false" ht="15.75" hidden="true" customHeight="true" outlineLevel="0" collapsed="false">
      <c r="A231" s="63" t="n">
        <v>2021</v>
      </c>
      <c r="B231" s="79" t="s">
        <v>244</v>
      </c>
      <c r="C231" s="79"/>
      <c r="D231" s="63"/>
      <c r="E231" s="63"/>
      <c r="F231" s="63"/>
      <c r="G231" s="63"/>
    </row>
    <row r="232" customFormat="false" ht="15.75" hidden="true" customHeight="true" outlineLevel="0" collapsed="false">
      <c r="A232" s="63" t="n">
        <v>2021</v>
      </c>
      <c r="B232" s="79" t="s">
        <v>244</v>
      </c>
      <c r="C232" s="79"/>
      <c r="D232" s="63"/>
      <c r="E232" s="63"/>
      <c r="F232" s="63"/>
      <c r="G232" s="63"/>
    </row>
    <row r="233" customFormat="false" ht="15.75" hidden="true" customHeight="true" outlineLevel="0" collapsed="false">
      <c r="A233" s="63" t="n">
        <v>2021</v>
      </c>
      <c r="B233" s="79" t="s">
        <v>244</v>
      </c>
      <c r="C233" s="79"/>
      <c r="D233" s="63"/>
      <c r="E233" s="63"/>
      <c r="F233" s="63"/>
      <c r="G233" s="63"/>
    </row>
    <row r="234" customFormat="false" ht="15.75" hidden="true" customHeight="true" outlineLevel="0" collapsed="false">
      <c r="A234" s="63" t="n">
        <v>2021</v>
      </c>
      <c r="B234" s="79" t="s">
        <v>244</v>
      </c>
      <c r="C234" s="79"/>
      <c r="D234" s="63"/>
      <c r="E234" s="63"/>
      <c r="F234" s="63"/>
      <c r="G234" s="63"/>
    </row>
    <row r="235" customFormat="false" ht="15.75" hidden="true" customHeight="true" outlineLevel="0" collapsed="false">
      <c r="A235" s="99" t="s">
        <v>391</v>
      </c>
      <c r="B235" s="99"/>
      <c r="C235" s="99"/>
      <c r="D235" s="99"/>
      <c r="E235" s="99"/>
      <c r="F235" s="99"/>
      <c r="G235" s="99"/>
    </row>
    <row r="236" customFormat="false" ht="15.75" hidden="true" customHeight="true" outlineLevel="0" collapsed="false">
      <c r="A236" s="63" t="n">
        <v>2021</v>
      </c>
      <c r="B236" s="79" t="s">
        <v>270</v>
      </c>
      <c r="C236" s="79"/>
      <c r="D236" s="63"/>
      <c r="E236" s="63"/>
      <c r="F236" s="63"/>
      <c r="G236" s="63"/>
    </row>
    <row r="237" customFormat="false" ht="15.75" hidden="true" customHeight="true" outlineLevel="0" collapsed="false">
      <c r="A237" s="63" t="n">
        <v>2021</v>
      </c>
      <c r="B237" s="79" t="s">
        <v>270</v>
      </c>
      <c r="C237" s="79"/>
      <c r="D237" s="63"/>
      <c r="E237" s="63"/>
      <c r="F237" s="63"/>
      <c r="G237" s="63"/>
    </row>
    <row r="238" customFormat="false" ht="15.75" hidden="true" customHeight="true" outlineLevel="0" collapsed="false">
      <c r="A238" s="63" t="n">
        <v>2021</v>
      </c>
      <c r="B238" s="79" t="s">
        <v>270</v>
      </c>
      <c r="C238" s="79"/>
      <c r="D238" s="63"/>
      <c r="E238" s="63"/>
      <c r="F238" s="63"/>
      <c r="G238" s="63"/>
    </row>
    <row r="239" customFormat="false" ht="15.75" hidden="true" customHeight="true" outlineLevel="0" collapsed="false">
      <c r="A239" s="63" t="n">
        <v>2021</v>
      </c>
      <c r="B239" s="79" t="s">
        <v>270</v>
      </c>
      <c r="C239" s="79"/>
      <c r="D239" s="63"/>
      <c r="E239" s="63"/>
      <c r="F239" s="63"/>
      <c r="G239" s="63"/>
    </row>
    <row r="240" customFormat="false" ht="15.75" hidden="true" customHeight="true" outlineLevel="0" collapsed="false">
      <c r="A240" s="63" t="n">
        <v>2021</v>
      </c>
      <c r="B240" s="79" t="s">
        <v>270</v>
      </c>
      <c r="C240" s="79"/>
      <c r="D240" s="63"/>
      <c r="E240" s="63"/>
      <c r="F240" s="63"/>
      <c r="G240" s="63"/>
    </row>
    <row r="241" customFormat="false" ht="15.75" hidden="true" customHeight="true" outlineLevel="0" collapsed="false">
      <c r="A241" s="63" t="n">
        <v>2021</v>
      </c>
      <c r="B241" s="79" t="s">
        <v>270</v>
      </c>
      <c r="C241" s="79"/>
      <c r="D241" s="63"/>
      <c r="E241" s="63"/>
      <c r="F241" s="63"/>
      <c r="G241" s="63"/>
    </row>
    <row r="242" customFormat="false" ht="15.75" hidden="true" customHeight="true" outlineLevel="0" collapsed="false">
      <c r="A242" s="63" t="n">
        <v>2021</v>
      </c>
      <c r="B242" s="79" t="s">
        <v>270</v>
      </c>
      <c r="C242" s="79"/>
      <c r="D242" s="63"/>
      <c r="E242" s="63"/>
      <c r="F242" s="63"/>
      <c r="G242" s="63"/>
    </row>
    <row r="243" customFormat="false" ht="15.75" hidden="true" customHeight="true" outlineLevel="0" collapsed="false">
      <c r="A243" s="63" t="n">
        <v>2021</v>
      </c>
      <c r="B243" s="79" t="s">
        <v>270</v>
      </c>
      <c r="C243" s="79"/>
      <c r="D243" s="63"/>
      <c r="E243" s="63"/>
      <c r="F243" s="63"/>
      <c r="G243" s="63"/>
    </row>
    <row r="244" customFormat="false" ht="15.75" hidden="true" customHeight="true" outlineLevel="0" collapsed="false">
      <c r="A244" s="63" t="n">
        <v>2021</v>
      </c>
      <c r="B244" s="79" t="s">
        <v>270</v>
      </c>
      <c r="C244" s="79"/>
      <c r="D244" s="63"/>
      <c r="E244" s="63"/>
      <c r="F244" s="63"/>
      <c r="G244" s="63"/>
    </row>
    <row r="245" customFormat="false" ht="15.75" hidden="true" customHeight="true" outlineLevel="0" collapsed="false">
      <c r="A245" s="63" t="n">
        <v>2021</v>
      </c>
      <c r="B245" s="79" t="s">
        <v>270</v>
      </c>
      <c r="C245" s="79"/>
      <c r="D245" s="63"/>
      <c r="E245" s="63"/>
      <c r="F245" s="63"/>
      <c r="G245" s="63"/>
    </row>
    <row r="246" customFormat="false" ht="15.75" hidden="true" customHeight="true" outlineLevel="0" collapsed="false">
      <c r="A246" s="63" t="n">
        <v>2021</v>
      </c>
      <c r="B246" s="79" t="s">
        <v>270</v>
      </c>
      <c r="C246" s="79"/>
      <c r="D246" s="63"/>
      <c r="E246" s="63"/>
      <c r="F246" s="63"/>
      <c r="G246" s="63"/>
    </row>
    <row r="247" customFormat="false" ht="15.75" hidden="true" customHeight="true" outlineLevel="0" collapsed="false">
      <c r="A247" s="63" t="n">
        <v>2021</v>
      </c>
      <c r="B247" s="79" t="s">
        <v>270</v>
      </c>
      <c r="C247" s="79"/>
      <c r="D247" s="63"/>
      <c r="E247" s="63"/>
      <c r="F247" s="63"/>
      <c r="G247" s="63"/>
    </row>
    <row r="248" customFormat="false" ht="15.75" hidden="true" customHeight="true" outlineLevel="0" collapsed="false">
      <c r="A248" s="63" t="n">
        <v>2021</v>
      </c>
      <c r="B248" s="79" t="s">
        <v>270</v>
      </c>
      <c r="C248" s="79"/>
      <c r="D248" s="63"/>
      <c r="E248" s="63"/>
      <c r="F248" s="63"/>
      <c r="G248" s="63"/>
    </row>
    <row r="249" customFormat="false" ht="15.75" hidden="true" customHeight="true" outlineLevel="0" collapsed="false">
      <c r="A249" s="63" t="n">
        <v>2021</v>
      </c>
      <c r="B249" s="79" t="s">
        <v>270</v>
      </c>
      <c r="C249" s="79"/>
      <c r="D249" s="63"/>
      <c r="E249" s="63"/>
      <c r="F249" s="63"/>
      <c r="G249" s="63"/>
    </row>
    <row r="250" customFormat="false" ht="15.75" hidden="true" customHeight="true" outlineLevel="0" collapsed="false">
      <c r="A250" s="63" t="n">
        <v>2021</v>
      </c>
      <c r="B250" s="79" t="s">
        <v>270</v>
      </c>
      <c r="C250" s="79"/>
      <c r="D250" s="63"/>
      <c r="E250" s="63"/>
      <c r="F250" s="63"/>
      <c r="G250" s="63"/>
    </row>
    <row r="251" customFormat="false" ht="15.75" hidden="true" customHeight="true" outlineLevel="0" collapsed="false">
      <c r="A251" s="63" t="n">
        <v>2021</v>
      </c>
      <c r="B251" s="79" t="s">
        <v>270</v>
      </c>
      <c r="C251" s="79"/>
      <c r="D251" s="63"/>
      <c r="E251" s="63"/>
      <c r="F251" s="63"/>
      <c r="G251" s="63"/>
    </row>
    <row r="252" customFormat="false" ht="15.75" hidden="true" customHeight="true" outlineLevel="0" collapsed="false">
      <c r="A252" s="63" t="n">
        <v>2021</v>
      </c>
      <c r="B252" s="79" t="s">
        <v>270</v>
      </c>
      <c r="C252" s="79"/>
      <c r="D252" s="63"/>
      <c r="E252" s="63"/>
      <c r="F252" s="63"/>
      <c r="G252" s="63"/>
    </row>
    <row r="253" customFormat="false" ht="15.75" hidden="true" customHeight="true" outlineLevel="0" collapsed="false">
      <c r="A253" s="63" t="n">
        <v>2021</v>
      </c>
      <c r="B253" s="79" t="s">
        <v>270</v>
      </c>
      <c r="C253" s="79"/>
      <c r="D253" s="63"/>
      <c r="E253" s="63"/>
      <c r="F253" s="63"/>
      <c r="G253" s="63"/>
    </row>
    <row r="254" customFormat="false" ht="15.75" hidden="true" customHeight="true" outlineLevel="0" collapsed="false">
      <c r="A254" s="63" t="n">
        <v>2021</v>
      </c>
      <c r="B254" s="79" t="s">
        <v>270</v>
      </c>
      <c r="C254" s="79"/>
      <c r="D254" s="63"/>
      <c r="E254" s="63"/>
      <c r="F254" s="63"/>
      <c r="G254" s="63"/>
    </row>
    <row r="255" customFormat="false" ht="15.75" hidden="true" customHeight="true" outlineLevel="0" collapsed="false">
      <c r="A255" s="63" t="n">
        <v>2021</v>
      </c>
      <c r="B255" s="79" t="s">
        <v>270</v>
      </c>
      <c r="C255" s="79"/>
      <c r="D255" s="63"/>
      <c r="E255" s="63"/>
      <c r="F255" s="63"/>
      <c r="G255" s="63"/>
    </row>
    <row r="256" customFormat="false" ht="15.75" hidden="true" customHeight="true" outlineLevel="0" collapsed="false">
      <c r="A256" s="99" t="s">
        <v>392</v>
      </c>
      <c r="B256" s="99"/>
      <c r="C256" s="99"/>
      <c r="D256" s="99"/>
      <c r="E256" s="99"/>
      <c r="F256" s="99"/>
      <c r="G256" s="99"/>
    </row>
    <row r="257" customFormat="false" ht="15.75" hidden="true" customHeight="true" outlineLevel="0" collapsed="false">
      <c r="A257" s="63" t="n">
        <v>2022</v>
      </c>
      <c r="B257" s="79" t="s">
        <v>330</v>
      </c>
      <c r="C257" s="79"/>
      <c r="D257" s="63"/>
      <c r="E257" s="63"/>
      <c r="F257" s="63"/>
      <c r="G257" s="63"/>
    </row>
    <row r="258" customFormat="false" ht="15.75" hidden="true" customHeight="true" outlineLevel="0" collapsed="false">
      <c r="A258" s="63" t="n">
        <v>2022</v>
      </c>
      <c r="B258" s="79" t="s">
        <v>330</v>
      </c>
      <c r="C258" s="79"/>
      <c r="D258" s="63"/>
      <c r="E258" s="63"/>
      <c r="F258" s="63"/>
      <c r="G258" s="63"/>
    </row>
    <row r="259" customFormat="false" ht="15.75" hidden="true" customHeight="true" outlineLevel="0" collapsed="false">
      <c r="A259" s="63" t="n">
        <v>2022</v>
      </c>
      <c r="B259" s="79" t="s">
        <v>330</v>
      </c>
      <c r="C259" s="79"/>
      <c r="D259" s="63"/>
      <c r="E259" s="63"/>
      <c r="F259" s="63"/>
      <c r="G259" s="63"/>
    </row>
    <row r="260" customFormat="false" ht="15.75" hidden="true" customHeight="true" outlineLevel="0" collapsed="false">
      <c r="A260" s="63" t="n">
        <v>2022</v>
      </c>
      <c r="B260" s="79" t="s">
        <v>330</v>
      </c>
      <c r="C260" s="79"/>
      <c r="D260" s="63"/>
      <c r="E260" s="63"/>
      <c r="F260" s="63"/>
      <c r="G260" s="63"/>
    </row>
    <row r="261" customFormat="false" ht="15.75" hidden="true" customHeight="true" outlineLevel="0" collapsed="false">
      <c r="A261" s="63" t="n">
        <v>2022</v>
      </c>
      <c r="B261" s="79" t="s">
        <v>330</v>
      </c>
      <c r="C261" s="79"/>
      <c r="D261" s="63"/>
      <c r="E261" s="63"/>
      <c r="F261" s="63"/>
      <c r="G261" s="63"/>
    </row>
    <row r="262" customFormat="false" ht="15.75" hidden="true" customHeight="true" outlineLevel="0" collapsed="false">
      <c r="A262" s="63" t="n">
        <v>2022</v>
      </c>
      <c r="B262" s="79" t="s">
        <v>330</v>
      </c>
      <c r="C262" s="79"/>
      <c r="D262" s="63"/>
      <c r="E262" s="63"/>
      <c r="F262" s="63"/>
      <c r="G262" s="63"/>
    </row>
    <row r="263" customFormat="false" ht="15.75" hidden="true" customHeight="true" outlineLevel="0" collapsed="false">
      <c r="A263" s="63" t="n">
        <v>2022</v>
      </c>
      <c r="B263" s="79" t="s">
        <v>330</v>
      </c>
      <c r="C263" s="79"/>
      <c r="D263" s="63"/>
      <c r="E263" s="63"/>
      <c r="F263" s="63"/>
      <c r="G263" s="63"/>
    </row>
    <row r="264" customFormat="false" ht="15.75" hidden="true" customHeight="true" outlineLevel="0" collapsed="false">
      <c r="A264" s="63" t="n">
        <v>2022</v>
      </c>
      <c r="B264" s="79" t="s">
        <v>330</v>
      </c>
      <c r="C264" s="79"/>
      <c r="D264" s="63"/>
      <c r="E264" s="63"/>
      <c r="F264" s="63"/>
      <c r="G264" s="63"/>
    </row>
    <row r="265" customFormat="false" ht="15.75" hidden="true" customHeight="true" outlineLevel="0" collapsed="false">
      <c r="A265" s="63" t="n">
        <v>2022</v>
      </c>
      <c r="B265" s="79" t="s">
        <v>330</v>
      </c>
      <c r="C265" s="79"/>
      <c r="D265" s="63"/>
      <c r="E265" s="63"/>
      <c r="F265" s="63"/>
      <c r="G265" s="63"/>
    </row>
    <row r="266" customFormat="false" ht="15.75" hidden="true" customHeight="true" outlineLevel="0" collapsed="false">
      <c r="A266" s="63" t="n">
        <v>2022</v>
      </c>
      <c r="B266" s="79" t="s">
        <v>330</v>
      </c>
      <c r="C266" s="79"/>
      <c r="D266" s="63"/>
      <c r="E266" s="63"/>
      <c r="F266" s="63"/>
      <c r="G266" s="63"/>
    </row>
    <row r="267" customFormat="false" ht="15.75" hidden="true" customHeight="true" outlineLevel="0" collapsed="false">
      <c r="A267" s="63" t="n">
        <v>2022</v>
      </c>
      <c r="B267" s="79" t="s">
        <v>330</v>
      </c>
      <c r="C267" s="79"/>
      <c r="D267" s="63"/>
      <c r="E267" s="63"/>
      <c r="F267" s="63"/>
      <c r="G267" s="63"/>
    </row>
    <row r="268" customFormat="false" ht="15.75" hidden="true" customHeight="true" outlineLevel="0" collapsed="false">
      <c r="A268" s="63" t="n">
        <v>2022</v>
      </c>
      <c r="B268" s="79" t="s">
        <v>330</v>
      </c>
      <c r="C268" s="79"/>
      <c r="D268" s="63"/>
      <c r="E268" s="63"/>
      <c r="F268" s="63"/>
      <c r="G268" s="63"/>
    </row>
    <row r="269" customFormat="false" ht="15.75" hidden="true" customHeight="true" outlineLevel="0" collapsed="false">
      <c r="A269" s="63" t="n">
        <v>2022</v>
      </c>
      <c r="B269" s="79" t="s">
        <v>330</v>
      </c>
      <c r="C269" s="79"/>
      <c r="D269" s="63"/>
      <c r="E269" s="63"/>
      <c r="F269" s="63"/>
      <c r="G269" s="63"/>
    </row>
    <row r="270" customFormat="false" ht="15.75" hidden="true" customHeight="true" outlineLevel="0" collapsed="false">
      <c r="A270" s="63" t="n">
        <v>2022</v>
      </c>
      <c r="B270" s="79" t="s">
        <v>330</v>
      </c>
      <c r="C270" s="79"/>
      <c r="D270" s="63"/>
      <c r="E270" s="63"/>
      <c r="F270" s="63"/>
      <c r="G270" s="63"/>
    </row>
    <row r="271" customFormat="false" ht="15.75" hidden="true" customHeight="true" outlineLevel="0" collapsed="false">
      <c r="A271" s="63" t="n">
        <v>2022</v>
      </c>
      <c r="B271" s="79" t="s">
        <v>330</v>
      </c>
      <c r="C271" s="79"/>
      <c r="D271" s="63"/>
      <c r="E271" s="63"/>
      <c r="F271" s="63"/>
      <c r="G271" s="63"/>
    </row>
    <row r="272" customFormat="false" ht="15.75" hidden="true" customHeight="true" outlineLevel="0" collapsed="false">
      <c r="A272" s="63" t="n">
        <v>2022</v>
      </c>
      <c r="B272" s="79" t="s">
        <v>330</v>
      </c>
      <c r="C272" s="79"/>
      <c r="D272" s="63"/>
      <c r="E272" s="63"/>
      <c r="F272" s="63"/>
      <c r="G272" s="63"/>
    </row>
    <row r="273" customFormat="false" ht="15.75" hidden="true" customHeight="true" outlineLevel="0" collapsed="false">
      <c r="A273" s="63" t="n">
        <v>2022</v>
      </c>
      <c r="B273" s="79" t="s">
        <v>330</v>
      </c>
      <c r="C273" s="79"/>
      <c r="D273" s="63"/>
      <c r="E273" s="63"/>
      <c r="F273" s="63"/>
      <c r="G273" s="63"/>
    </row>
    <row r="274" customFormat="false" ht="15.75" hidden="true" customHeight="true" outlineLevel="0" collapsed="false">
      <c r="A274" s="63" t="n">
        <v>2022</v>
      </c>
      <c r="B274" s="79" t="s">
        <v>330</v>
      </c>
      <c r="C274" s="79"/>
      <c r="D274" s="63"/>
      <c r="E274" s="63"/>
      <c r="F274" s="63"/>
      <c r="G274" s="63"/>
    </row>
    <row r="275" customFormat="false" ht="15.75" hidden="true" customHeight="true" outlineLevel="0" collapsed="false">
      <c r="A275" s="63" t="n">
        <v>2022</v>
      </c>
      <c r="B275" s="79" t="s">
        <v>330</v>
      </c>
      <c r="C275" s="79"/>
      <c r="D275" s="63"/>
      <c r="E275" s="63"/>
      <c r="F275" s="63"/>
      <c r="G275" s="63"/>
    </row>
    <row r="276" customFormat="false" ht="15.75" hidden="true" customHeight="true" outlineLevel="0" collapsed="false">
      <c r="A276" s="63" t="n">
        <v>2022</v>
      </c>
      <c r="B276" s="79" t="s">
        <v>330</v>
      </c>
      <c r="C276" s="79"/>
      <c r="D276" s="63"/>
      <c r="E276" s="63"/>
      <c r="F276" s="63"/>
      <c r="G276" s="63"/>
    </row>
    <row r="277" customFormat="false" ht="15.75" hidden="true" customHeight="true" outlineLevel="0" collapsed="false">
      <c r="A277" s="99" t="s">
        <v>393</v>
      </c>
      <c r="B277" s="99"/>
      <c r="C277" s="99"/>
      <c r="D277" s="99"/>
      <c r="E277" s="99"/>
      <c r="F277" s="99"/>
      <c r="G277" s="99"/>
    </row>
    <row r="278" customFormat="false" ht="15.75" hidden="true" customHeight="true" outlineLevel="0" collapsed="false">
      <c r="A278" s="63" t="n">
        <v>2022</v>
      </c>
      <c r="B278" s="79" t="s">
        <v>331</v>
      </c>
      <c r="C278" s="79"/>
      <c r="D278" s="63"/>
      <c r="E278" s="63"/>
      <c r="F278" s="63"/>
      <c r="G278" s="63"/>
    </row>
    <row r="279" customFormat="false" ht="15.75" hidden="true" customHeight="true" outlineLevel="0" collapsed="false">
      <c r="A279" s="63" t="n">
        <v>2022</v>
      </c>
      <c r="B279" s="79" t="s">
        <v>331</v>
      </c>
      <c r="C279" s="79"/>
      <c r="D279" s="63"/>
      <c r="E279" s="63"/>
      <c r="F279" s="63"/>
      <c r="G279" s="63"/>
    </row>
    <row r="280" customFormat="false" ht="15.75" hidden="true" customHeight="true" outlineLevel="0" collapsed="false">
      <c r="A280" s="63" t="n">
        <v>2022</v>
      </c>
      <c r="B280" s="79" t="s">
        <v>331</v>
      </c>
      <c r="C280" s="79"/>
      <c r="D280" s="63"/>
      <c r="E280" s="63"/>
      <c r="F280" s="63"/>
      <c r="G280" s="63"/>
    </row>
    <row r="281" customFormat="false" ht="15.75" hidden="true" customHeight="true" outlineLevel="0" collapsed="false">
      <c r="A281" s="63" t="n">
        <v>2022</v>
      </c>
      <c r="B281" s="79" t="s">
        <v>331</v>
      </c>
      <c r="C281" s="79"/>
      <c r="D281" s="63"/>
      <c r="E281" s="63"/>
      <c r="F281" s="63"/>
      <c r="G281" s="63"/>
    </row>
    <row r="282" customFormat="false" ht="15.75" hidden="true" customHeight="true" outlineLevel="0" collapsed="false">
      <c r="A282" s="63" t="n">
        <v>2022</v>
      </c>
      <c r="B282" s="79" t="s">
        <v>331</v>
      </c>
      <c r="C282" s="79"/>
      <c r="D282" s="63"/>
      <c r="E282" s="63"/>
      <c r="F282" s="63"/>
      <c r="G282" s="63"/>
    </row>
    <row r="283" customFormat="false" ht="15.75" hidden="true" customHeight="true" outlineLevel="0" collapsed="false">
      <c r="A283" s="63" t="n">
        <v>2022</v>
      </c>
      <c r="B283" s="79" t="s">
        <v>331</v>
      </c>
      <c r="C283" s="79"/>
      <c r="D283" s="63"/>
      <c r="E283" s="63"/>
      <c r="F283" s="63"/>
      <c r="G283" s="63"/>
    </row>
    <row r="284" customFormat="false" ht="15.75" hidden="true" customHeight="true" outlineLevel="0" collapsed="false">
      <c r="A284" s="63" t="n">
        <v>2022</v>
      </c>
      <c r="B284" s="79" t="s">
        <v>331</v>
      </c>
      <c r="C284" s="79"/>
      <c r="D284" s="63"/>
      <c r="E284" s="63"/>
      <c r="F284" s="63"/>
      <c r="G284" s="63"/>
    </row>
    <row r="285" customFormat="false" ht="15.75" hidden="true" customHeight="true" outlineLevel="0" collapsed="false">
      <c r="A285" s="63" t="n">
        <v>2022</v>
      </c>
      <c r="B285" s="79" t="s">
        <v>331</v>
      </c>
      <c r="C285" s="79"/>
      <c r="D285" s="63"/>
      <c r="E285" s="63"/>
      <c r="F285" s="63"/>
      <c r="G285" s="63"/>
    </row>
    <row r="286" customFormat="false" ht="15.75" hidden="true" customHeight="true" outlineLevel="0" collapsed="false">
      <c r="A286" s="63" t="n">
        <v>2022</v>
      </c>
      <c r="B286" s="79" t="s">
        <v>331</v>
      </c>
      <c r="C286" s="79"/>
      <c r="D286" s="63"/>
      <c r="E286" s="63"/>
      <c r="F286" s="63"/>
      <c r="G286" s="63"/>
    </row>
    <row r="287" customFormat="false" ht="15.75" hidden="true" customHeight="true" outlineLevel="0" collapsed="false">
      <c r="A287" s="63" t="n">
        <v>2022</v>
      </c>
      <c r="B287" s="79" t="s">
        <v>331</v>
      </c>
      <c r="C287" s="79"/>
      <c r="D287" s="63"/>
      <c r="E287" s="63"/>
      <c r="F287" s="63"/>
      <c r="G287" s="63"/>
    </row>
    <row r="288" customFormat="false" ht="15.75" hidden="true" customHeight="true" outlineLevel="0" collapsed="false">
      <c r="A288" s="63" t="n">
        <v>2022</v>
      </c>
      <c r="B288" s="79" t="s">
        <v>331</v>
      </c>
      <c r="C288" s="79"/>
      <c r="D288" s="63"/>
      <c r="E288" s="63"/>
      <c r="F288" s="63"/>
      <c r="G288" s="63"/>
    </row>
    <row r="289" customFormat="false" ht="15.75" hidden="true" customHeight="true" outlineLevel="0" collapsed="false">
      <c r="A289" s="63" t="n">
        <v>2022</v>
      </c>
      <c r="B289" s="79" t="s">
        <v>331</v>
      </c>
      <c r="C289" s="79"/>
      <c r="D289" s="63"/>
      <c r="E289" s="63"/>
      <c r="F289" s="63"/>
      <c r="G289" s="63"/>
    </row>
    <row r="290" customFormat="false" ht="15.75" hidden="true" customHeight="true" outlineLevel="0" collapsed="false">
      <c r="A290" s="63" t="n">
        <v>2022</v>
      </c>
      <c r="B290" s="79" t="s">
        <v>331</v>
      </c>
      <c r="C290" s="79"/>
      <c r="D290" s="63"/>
      <c r="E290" s="63"/>
      <c r="F290" s="63"/>
      <c r="G290" s="63"/>
    </row>
    <row r="291" customFormat="false" ht="15.75" hidden="true" customHeight="true" outlineLevel="0" collapsed="false">
      <c r="A291" s="63" t="n">
        <v>2022</v>
      </c>
      <c r="B291" s="79" t="s">
        <v>331</v>
      </c>
      <c r="C291" s="79"/>
      <c r="D291" s="63"/>
      <c r="E291" s="63"/>
      <c r="F291" s="63"/>
      <c r="G291" s="63"/>
    </row>
    <row r="292" customFormat="false" ht="15.75" hidden="true" customHeight="true" outlineLevel="0" collapsed="false">
      <c r="A292" s="63" t="n">
        <v>2022</v>
      </c>
      <c r="B292" s="79" t="s">
        <v>331</v>
      </c>
      <c r="C292" s="79"/>
      <c r="D292" s="63"/>
      <c r="E292" s="63"/>
      <c r="F292" s="63"/>
      <c r="G292" s="63"/>
    </row>
    <row r="293" customFormat="false" ht="15.75" hidden="true" customHeight="true" outlineLevel="0" collapsed="false">
      <c r="A293" s="63" t="n">
        <v>2022</v>
      </c>
      <c r="B293" s="79" t="s">
        <v>331</v>
      </c>
      <c r="C293" s="79"/>
      <c r="D293" s="63"/>
      <c r="E293" s="63"/>
      <c r="F293" s="63"/>
      <c r="G293" s="63"/>
    </row>
    <row r="294" customFormat="false" ht="15.75" hidden="true" customHeight="true" outlineLevel="0" collapsed="false">
      <c r="A294" s="63" t="n">
        <v>2022</v>
      </c>
      <c r="B294" s="79" t="s">
        <v>331</v>
      </c>
      <c r="C294" s="79"/>
      <c r="D294" s="63"/>
      <c r="E294" s="63"/>
      <c r="F294" s="63"/>
      <c r="G294" s="63"/>
    </row>
    <row r="295" customFormat="false" ht="15.75" hidden="true" customHeight="true" outlineLevel="0" collapsed="false">
      <c r="A295" s="63" t="n">
        <v>2022</v>
      </c>
      <c r="B295" s="79" t="s">
        <v>331</v>
      </c>
      <c r="C295" s="79"/>
      <c r="D295" s="63"/>
      <c r="E295" s="63"/>
      <c r="F295" s="63"/>
      <c r="G295" s="63"/>
    </row>
    <row r="296" customFormat="false" ht="15.75" hidden="true" customHeight="true" outlineLevel="0" collapsed="false">
      <c r="A296" s="63" t="n">
        <v>2022</v>
      </c>
      <c r="B296" s="79" t="s">
        <v>331</v>
      </c>
      <c r="C296" s="79"/>
      <c r="D296" s="63"/>
      <c r="E296" s="63"/>
      <c r="F296" s="63"/>
      <c r="G296" s="63"/>
    </row>
    <row r="297" customFormat="false" ht="15.75" hidden="true" customHeight="true" outlineLevel="0" collapsed="false">
      <c r="A297" s="63" t="n">
        <v>2022</v>
      </c>
      <c r="B297" s="79" t="s">
        <v>331</v>
      </c>
      <c r="C297" s="79"/>
      <c r="D297" s="63"/>
      <c r="E297" s="63"/>
      <c r="F297" s="63"/>
      <c r="G297" s="63"/>
    </row>
    <row r="298" customFormat="false" ht="15.75" hidden="true" customHeight="true" outlineLevel="0" collapsed="false">
      <c r="A298" s="99" t="s">
        <v>394</v>
      </c>
      <c r="B298" s="99"/>
      <c r="C298" s="99"/>
      <c r="D298" s="99"/>
      <c r="E298" s="99"/>
      <c r="F298" s="99"/>
      <c r="G298" s="99"/>
    </row>
    <row r="299" customFormat="false" ht="15.75" hidden="true" customHeight="true" outlineLevel="0" collapsed="false">
      <c r="A299" s="63" t="n">
        <v>2022</v>
      </c>
      <c r="B299" s="79" t="s">
        <v>332</v>
      </c>
      <c r="C299" s="79"/>
      <c r="D299" s="63"/>
      <c r="E299" s="63"/>
      <c r="F299" s="63"/>
      <c r="G299" s="63"/>
    </row>
    <row r="300" customFormat="false" ht="15.75" hidden="true" customHeight="true" outlineLevel="0" collapsed="false">
      <c r="A300" s="63" t="n">
        <v>2022</v>
      </c>
      <c r="B300" s="79" t="s">
        <v>332</v>
      </c>
      <c r="C300" s="79"/>
      <c r="D300" s="63"/>
      <c r="E300" s="63"/>
      <c r="F300" s="63"/>
      <c r="G300" s="63"/>
    </row>
    <row r="301" customFormat="false" ht="15.75" hidden="true" customHeight="true" outlineLevel="0" collapsed="false">
      <c r="A301" s="63" t="n">
        <v>2022</v>
      </c>
      <c r="B301" s="79" t="s">
        <v>332</v>
      </c>
      <c r="C301" s="79"/>
      <c r="D301" s="63"/>
      <c r="E301" s="63"/>
      <c r="F301" s="63"/>
      <c r="G301" s="63"/>
    </row>
    <row r="302" customFormat="false" ht="15.75" hidden="true" customHeight="true" outlineLevel="0" collapsed="false">
      <c r="A302" s="63" t="n">
        <v>2022</v>
      </c>
      <c r="B302" s="79" t="s">
        <v>332</v>
      </c>
      <c r="C302" s="79"/>
      <c r="D302" s="63"/>
      <c r="E302" s="63"/>
      <c r="F302" s="63"/>
      <c r="G302" s="63"/>
    </row>
    <row r="303" customFormat="false" ht="15.75" hidden="true" customHeight="true" outlineLevel="0" collapsed="false">
      <c r="A303" s="63" t="n">
        <v>2022</v>
      </c>
      <c r="B303" s="79" t="s">
        <v>332</v>
      </c>
      <c r="C303" s="79"/>
      <c r="D303" s="63"/>
      <c r="E303" s="63"/>
      <c r="F303" s="63"/>
      <c r="G303" s="63"/>
    </row>
    <row r="304" customFormat="false" ht="15.75" hidden="true" customHeight="true" outlineLevel="0" collapsed="false">
      <c r="A304" s="63" t="n">
        <v>2022</v>
      </c>
      <c r="B304" s="79" t="s">
        <v>332</v>
      </c>
      <c r="C304" s="79"/>
      <c r="D304" s="63"/>
      <c r="E304" s="63"/>
      <c r="F304" s="63"/>
      <c r="G304" s="63"/>
    </row>
    <row r="305" customFormat="false" ht="15.75" hidden="true" customHeight="true" outlineLevel="0" collapsed="false">
      <c r="A305" s="63" t="n">
        <v>2022</v>
      </c>
      <c r="B305" s="79" t="s">
        <v>332</v>
      </c>
      <c r="C305" s="79"/>
      <c r="D305" s="63"/>
      <c r="E305" s="63"/>
      <c r="F305" s="63"/>
      <c r="G305" s="63"/>
    </row>
    <row r="306" customFormat="false" ht="15.75" hidden="true" customHeight="true" outlineLevel="0" collapsed="false">
      <c r="A306" s="63" t="n">
        <v>2022</v>
      </c>
      <c r="B306" s="79" t="s">
        <v>332</v>
      </c>
      <c r="C306" s="79"/>
      <c r="D306" s="63"/>
      <c r="E306" s="63"/>
      <c r="F306" s="63"/>
      <c r="G306" s="63"/>
    </row>
    <row r="307" customFormat="false" ht="15.75" hidden="true" customHeight="true" outlineLevel="0" collapsed="false">
      <c r="A307" s="63" t="n">
        <v>2022</v>
      </c>
      <c r="B307" s="79" t="s">
        <v>332</v>
      </c>
      <c r="C307" s="79"/>
      <c r="D307" s="63"/>
      <c r="E307" s="63"/>
      <c r="F307" s="63"/>
      <c r="G307" s="63"/>
    </row>
    <row r="308" customFormat="false" ht="15.75" hidden="true" customHeight="true" outlineLevel="0" collapsed="false">
      <c r="A308" s="63" t="n">
        <v>2022</v>
      </c>
      <c r="B308" s="79" t="s">
        <v>332</v>
      </c>
      <c r="C308" s="79"/>
      <c r="D308" s="63"/>
      <c r="E308" s="63"/>
      <c r="F308" s="63"/>
      <c r="G308" s="63"/>
    </row>
    <row r="309" customFormat="false" ht="15.75" hidden="true" customHeight="true" outlineLevel="0" collapsed="false">
      <c r="A309" s="63" t="n">
        <v>2022</v>
      </c>
      <c r="B309" s="79" t="s">
        <v>332</v>
      </c>
      <c r="C309" s="79"/>
      <c r="D309" s="63"/>
      <c r="E309" s="63"/>
      <c r="F309" s="63"/>
      <c r="G309" s="63"/>
    </row>
    <row r="310" customFormat="false" ht="15.75" hidden="true" customHeight="true" outlineLevel="0" collapsed="false">
      <c r="A310" s="63" t="n">
        <v>2022</v>
      </c>
      <c r="B310" s="79" t="s">
        <v>332</v>
      </c>
      <c r="C310" s="79"/>
      <c r="D310" s="63"/>
      <c r="E310" s="63"/>
      <c r="F310" s="63"/>
      <c r="G310" s="63"/>
    </row>
    <row r="311" customFormat="false" ht="15.75" hidden="true" customHeight="true" outlineLevel="0" collapsed="false">
      <c r="A311" s="63" t="n">
        <v>2022</v>
      </c>
      <c r="B311" s="79" t="s">
        <v>332</v>
      </c>
      <c r="C311" s="79"/>
      <c r="D311" s="63"/>
      <c r="E311" s="63"/>
      <c r="F311" s="63"/>
      <c r="G311" s="63"/>
    </row>
    <row r="312" customFormat="false" ht="15.75" hidden="true" customHeight="true" outlineLevel="0" collapsed="false">
      <c r="A312" s="63" t="n">
        <v>2022</v>
      </c>
      <c r="B312" s="79" t="s">
        <v>332</v>
      </c>
      <c r="C312" s="79"/>
      <c r="D312" s="63"/>
      <c r="E312" s="63"/>
      <c r="F312" s="63"/>
      <c r="G312" s="63"/>
    </row>
    <row r="313" customFormat="false" ht="15.75" hidden="true" customHeight="true" outlineLevel="0" collapsed="false">
      <c r="A313" s="63" t="n">
        <v>2022</v>
      </c>
      <c r="B313" s="79" t="s">
        <v>332</v>
      </c>
      <c r="C313" s="79"/>
      <c r="D313" s="63"/>
      <c r="E313" s="63"/>
      <c r="F313" s="63"/>
      <c r="G313" s="63"/>
    </row>
    <row r="314" customFormat="false" ht="15.75" hidden="true" customHeight="true" outlineLevel="0" collapsed="false">
      <c r="A314" s="63" t="n">
        <v>2022</v>
      </c>
      <c r="B314" s="79" t="s">
        <v>332</v>
      </c>
      <c r="C314" s="79"/>
      <c r="D314" s="63"/>
      <c r="E314" s="63"/>
      <c r="F314" s="63"/>
      <c r="G314" s="63"/>
    </row>
    <row r="315" customFormat="false" ht="15.75" hidden="true" customHeight="true" outlineLevel="0" collapsed="false">
      <c r="A315" s="63" t="n">
        <v>2022</v>
      </c>
      <c r="B315" s="79" t="s">
        <v>332</v>
      </c>
      <c r="C315" s="79"/>
      <c r="D315" s="63"/>
      <c r="E315" s="63"/>
      <c r="F315" s="63"/>
      <c r="G315" s="63"/>
    </row>
    <row r="316" customFormat="false" ht="15.75" hidden="true" customHeight="true" outlineLevel="0" collapsed="false">
      <c r="A316" s="63" t="n">
        <v>2022</v>
      </c>
      <c r="B316" s="79" t="s">
        <v>332</v>
      </c>
      <c r="C316" s="79"/>
      <c r="D316" s="63"/>
      <c r="E316" s="63"/>
      <c r="F316" s="63"/>
      <c r="G316" s="63"/>
    </row>
    <row r="317" customFormat="false" ht="15.75" hidden="true" customHeight="true" outlineLevel="0" collapsed="false">
      <c r="A317" s="63" t="n">
        <v>2022</v>
      </c>
      <c r="B317" s="79" t="s">
        <v>332</v>
      </c>
      <c r="C317" s="79"/>
      <c r="D317" s="63"/>
      <c r="E317" s="63"/>
      <c r="F317" s="63"/>
      <c r="G317" s="63"/>
    </row>
    <row r="318" customFormat="false" ht="15.75" hidden="true" customHeight="true" outlineLevel="0" collapsed="false">
      <c r="A318" s="63" t="n">
        <v>2022</v>
      </c>
      <c r="B318" s="79" t="s">
        <v>332</v>
      </c>
      <c r="C318" s="79"/>
      <c r="D318" s="63"/>
      <c r="E318" s="63"/>
      <c r="F318" s="63"/>
      <c r="G318" s="63"/>
    </row>
    <row r="319" customFormat="false" ht="15.75" hidden="true" customHeight="true" outlineLevel="0" collapsed="false">
      <c r="A319" s="99" t="s">
        <v>395</v>
      </c>
      <c r="B319" s="99"/>
      <c r="C319" s="99"/>
      <c r="D319" s="99"/>
      <c r="E319" s="99"/>
      <c r="F319" s="99"/>
      <c r="G319" s="99"/>
    </row>
    <row r="320" customFormat="false" ht="15.75" hidden="true" customHeight="true" outlineLevel="0" collapsed="false">
      <c r="A320" s="63" t="n">
        <v>2022</v>
      </c>
      <c r="B320" s="79" t="s">
        <v>333</v>
      </c>
      <c r="C320" s="79"/>
      <c r="D320" s="63"/>
      <c r="E320" s="63"/>
      <c r="F320" s="63"/>
      <c r="G320" s="63"/>
    </row>
    <row r="321" customFormat="false" ht="15.75" hidden="true" customHeight="true" outlineLevel="0" collapsed="false">
      <c r="A321" s="63" t="n">
        <v>2022</v>
      </c>
      <c r="B321" s="79" t="s">
        <v>333</v>
      </c>
      <c r="C321" s="79"/>
      <c r="D321" s="63"/>
      <c r="E321" s="63"/>
      <c r="F321" s="63"/>
      <c r="G321" s="63"/>
    </row>
    <row r="322" customFormat="false" ht="15.75" hidden="true" customHeight="true" outlineLevel="0" collapsed="false">
      <c r="A322" s="63" t="n">
        <v>2022</v>
      </c>
      <c r="B322" s="79" t="s">
        <v>333</v>
      </c>
      <c r="C322" s="79"/>
      <c r="D322" s="63"/>
      <c r="E322" s="63"/>
      <c r="F322" s="63"/>
      <c r="G322" s="63"/>
    </row>
    <row r="323" customFormat="false" ht="15.75" hidden="true" customHeight="true" outlineLevel="0" collapsed="false">
      <c r="A323" s="63" t="n">
        <v>2022</v>
      </c>
      <c r="B323" s="79" t="s">
        <v>333</v>
      </c>
      <c r="C323" s="79"/>
      <c r="D323" s="63"/>
      <c r="E323" s="63"/>
      <c r="F323" s="63"/>
      <c r="G323" s="63"/>
    </row>
    <row r="324" customFormat="false" ht="15.75" hidden="true" customHeight="true" outlineLevel="0" collapsed="false">
      <c r="A324" s="63" t="n">
        <v>2022</v>
      </c>
      <c r="B324" s="79" t="s">
        <v>333</v>
      </c>
      <c r="C324" s="79"/>
      <c r="D324" s="63"/>
      <c r="E324" s="63"/>
      <c r="F324" s="63"/>
      <c r="G324" s="63"/>
    </row>
    <row r="325" customFormat="false" ht="15.75" hidden="true" customHeight="true" outlineLevel="0" collapsed="false">
      <c r="A325" s="63" t="n">
        <v>2022</v>
      </c>
      <c r="B325" s="79" t="s">
        <v>333</v>
      </c>
      <c r="C325" s="79"/>
      <c r="D325" s="63"/>
      <c r="E325" s="63"/>
      <c r="F325" s="63"/>
      <c r="G325" s="63"/>
    </row>
    <row r="326" customFormat="false" ht="15.75" hidden="true" customHeight="true" outlineLevel="0" collapsed="false">
      <c r="A326" s="63" t="n">
        <v>2022</v>
      </c>
      <c r="B326" s="79" t="s">
        <v>333</v>
      </c>
      <c r="C326" s="79"/>
      <c r="D326" s="63"/>
      <c r="E326" s="63"/>
      <c r="F326" s="63"/>
      <c r="G326" s="63"/>
    </row>
    <row r="327" customFormat="false" ht="15.75" hidden="true" customHeight="true" outlineLevel="0" collapsed="false">
      <c r="A327" s="63" t="n">
        <v>2022</v>
      </c>
      <c r="B327" s="79" t="s">
        <v>333</v>
      </c>
      <c r="C327" s="79"/>
      <c r="D327" s="63"/>
      <c r="E327" s="63"/>
      <c r="F327" s="63"/>
      <c r="G327" s="63"/>
    </row>
    <row r="328" customFormat="false" ht="15.75" hidden="true" customHeight="true" outlineLevel="0" collapsed="false">
      <c r="A328" s="63" t="n">
        <v>2022</v>
      </c>
      <c r="B328" s="79" t="s">
        <v>333</v>
      </c>
      <c r="C328" s="79"/>
      <c r="D328" s="63"/>
      <c r="E328" s="63"/>
      <c r="F328" s="63"/>
      <c r="G328" s="63"/>
    </row>
    <row r="329" customFormat="false" ht="15.75" hidden="true" customHeight="true" outlineLevel="0" collapsed="false">
      <c r="A329" s="63" t="n">
        <v>2022</v>
      </c>
      <c r="B329" s="79" t="s">
        <v>333</v>
      </c>
      <c r="C329" s="79"/>
      <c r="D329" s="63"/>
      <c r="E329" s="63"/>
      <c r="F329" s="63"/>
      <c r="G329" s="63"/>
    </row>
    <row r="330" customFormat="false" ht="15.75" hidden="true" customHeight="true" outlineLevel="0" collapsed="false">
      <c r="A330" s="63" t="n">
        <v>2022</v>
      </c>
      <c r="B330" s="79" t="s">
        <v>333</v>
      </c>
      <c r="C330" s="79"/>
      <c r="D330" s="63"/>
      <c r="E330" s="63"/>
      <c r="F330" s="63"/>
      <c r="G330" s="63"/>
    </row>
    <row r="331" customFormat="false" ht="15.75" hidden="true" customHeight="true" outlineLevel="0" collapsed="false">
      <c r="A331" s="63" t="n">
        <v>2022</v>
      </c>
      <c r="B331" s="79" t="s">
        <v>333</v>
      </c>
      <c r="C331" s="79"/>
      <c r="D331" s="63"/>
      <c r="E331" s="63"/>
      <c r="F331" s="63"/>
      <c r="G331" s="63"/>
    </row>
    <row r="332" customFormat="false" ht="15.75" hidden="true" customHeight="true" outlineLevel="0" collapsed="false">
      <c r="A332" s="63" t="n">
        <v>2022</v>
      </c>
      <c r="B332" s="79" t="s">
        <v>333</v>
      </c>
      <c r="C332" s="79"/>
      <c r="D332" s="63"/>
      <c r="E332" s="63"/>
      <c r="F332" s="63"/>
      <c r="G332" s="63"/>
    </row>
    <row r="333" customFormat="false" ht="15.75" hidden="true" customHeight="true" outlineLevel="0" collapsed="false">
      <c r="A333" s="63" t="n">
        <v>2022</v>
      </c>
      <c r="B333" s="79" t="s">
        <v>333</v>
      </c>
      <c r="C333" s="79"/>
      <c r="D333" s="63"/>
      <c r="E333" s="63"/>
      <c r="F333" s="63"/>
      <c r="G333" s="63"/>
    </row>
    <row r="334" customFormat="false" ht="15.75" hidden="true" customHeight="true" outlineLevel="0" collapsed="false">
      <c r="A334" s="63" t="n">
        <v>2022</v>
      </c>
      <c r="B334" s="79" t="s">
        <v>333</v>
      </c>
      <c r="C334" s="79"/>
      <c r="D334" s="63"/>
      <c r="E334" s="63"/>
      <c r="F334" s="63"/>
      <c r="G334" s="63"/>
    </row>
    <row r="335" customFormat="false" ht="15.75" hidden="true" customHeight="true" outlineLevel="0" collapsed="false">
      <c r="A335" s="63" t="n">
        <v>2022</v>
      </c>
      <c r="B335" s="79" t="s">
        <v>333</v>
      </c>
      <c r="C335" s="79"/>
      <c r="D335" s="63"/>
      <c r="E335" s="63"/>
      <c r="F335" s="63"/>
      <c r="G335" s="63"/>
    </row>
    <row r="336" customFormat="false" ht="15.75" hidden="true" customHeight="true" outlineLevel="0" collapsed="false">
      <c r="A336" s="63" t="n">
        <v>2022</v>
      </c>
      <c r="B336" s="79" t="s">
        <v>333</v>
      </c>
      <c r="C336" s="79"/>
      <c r="D336" s="63"/>
      <c r="E336" s="63"/>
      <c r="F336" s="63"/>
      <c r="G336" s="63"/>
    </row>
    <row r="337" customFormat="false" ht="15.75" hidden="true" customHeight="true" outlineLevel="0" collapsed="false">
      <c r="A337" s="63" t="n">
        <v>2022</v>
      </c>
      <c r="B337" s="79" t="s">
        <v>333</v>
      </c>
      <c r="C337" s="79"/>
      <c r="D337" s="63"/>
      <c r="E337" s="63"/>
      <c r="F337" s="63"/>
      <c r="G337" s="63"/>
    </row>
    <row r="338" customFormat="false" ht="15.75" hidden="true" customHeight="true" outlineLevel="0" collapsed="false">
      <c r="A338" s="63" t="n">
        <v>2022</v>
      </c>
      <c r="B338" s="79" t="s">
        <v>333</v>
      </c>
      <c r="C338" s="79"/>
      <c r="D338" s="63"/>
      <c r="E338" s="63"/>
      <c r="F338" s="63"/>
      <c r="G338" s="63"/>
    </row>
    <row r="339" customFormat="false" ht="15.75" hidden="true" customHeight="true" outlineLevel="0" collapsed="false">
      <c r="A339" s="63" t="n">
        <v>2022</v>
      </c>
      <c r="B339" s="79" t="s">
        <v>333</v>
      </c>
      <c r="C339" s="79"/>
      <c r="D339" s="63"/>
      <c r="E339" s="63"/>
      <c r="F339" s="63"/>
      <c r="G339" s="63"/>
    </row>
    <row r="340" customFormat="false" ht="15.75" hidden="true" customHeight="true" outlineLevel="0" collapsed="false">
      <c r="A340" s="99" t="s">
        <v>396</v>
      </c>
      <c r="B340" s="99"/>
      <c r="C340" s="99"/>
      <c r="D340" s="99"/>
      <c r="E340" s="99"/>
      <c r="F340" s="99"/>
      <c r="G340" s="99"/>
    </row>
    <row r="341" customFormat="false" ht="15.75" hidden="true" customHeight="true" outlineLevel="0" collapsed="false">
      <c r="A341" s="63" t="n">
        <v>2022</v>
      </c>
      <c r="B341" s="79" t="s">
        <v>65</v>
      </c>
      <c r="C341" s="79"/>
      <c r="D341" s="63"/>
      <c r="E341" s="63"/>
      <c r="F341" s="63"/>
      <c r="G341" s="63"/>
    </row>
    <row r="342" customFormat="false" ht="15.75" hidden="true" customHeight="true" outlineLevel="0" collapsed="false">
      <c r="A342" s="63" t="n">
        <v>2022</v>
      </c>
      <c r="B342" s="79" t="s">
        <v>65</v>
      </c>
      <c r="C342" s="79"/>
      <c r="D342" s="63"/>
      <c r="E342" s="63"/>
      <c r="F342" s="63"/>
      <c r="G342" s="63"/>
    </row>
    <row r="343" customFormat="false" ht="15.75" hidden="true" customHeight="true" outlineLevel="0" collapsed="false">
      <c r="A343" s="63" t="n">
        <v>2022</v>
      </c>
      <c r="B343" s="79" t="s">
        <v>65</v>
      </c>
      <c r="C343" s="79"/>
      <c r="D343" s="63"/>
      <c r="E343" s="63"/>
      <c r="F343" s="63"/>
      <c r="G343" s="63"/>
    </row>
    <row r="344" customFormat="false" ht="15.75" hidden="true" customHeight="true" outlineLevel="0" collapsed="false">
      <c r="A344" s="63" t="n">
        <v>2022</v>
      </c>
      <c r="B344" s="79" t="s">
        <v>65</v>
      </c>
      <c r="C344" s="79"/>
      <c r="D344" s="63"/>
      <c r="E344" s="63"/>
      <c r="F344" s="63"/>
      <c r="G344" s="63"/>
    </row>
    <row r="345" customFormat="false" ht="15.75" hidden="true" customHeight="true" outlineLevel="0" collapsed="false">
      <c r="A345" s="63" t="n">
        <v>2022</v>
      </c>
      <c r="B345" s="79" t="s">
        <v>65</v>
      </c>
      <c r="C345" s="79"/>
      <c r="D345" s="63"/>
      <c r="E345" s="63"/>
      <c r="F345" s="63"/>
      <c r="G345" s="63"/>
    </row>
    <row r="346" customFormat="false" ht="15.75" hidden="true" customHeight="true" outlineLevel="0" collapsed="false">
      <c r="A346" s="63" t="n">
        <v>2022</v>
      </c>
      <c r="B346" s="79" t="s">
        <v>65</v>
      </c>
      <c r="C346" s="79"/>
      <c r="D346" s="63"/>
      <c r="E346" s="63"/>
      <c r="F346" s="63"/>
      <c r="G346" s="63"/>
    </row>
    <row r="347" customFormat="false" ht="15.75" hidden="true" customHeight="true" outlineLevel="0" collapsed="false">
      <c r="A347" s="63" t="n">
        <v>2022</v>
      </c>
      <c r="B347" s="79" t="s">
        <v>65</v>
      </c>
      <c r="C347" s="79"/>
      <c r="D347" s="63"/>
      <c r="E347" s="63"/>
      <c r="F347" s="63"/>
      <c r="G347" s="63"/>
    </row>
    <row r="348" customFormat="false" ht="15.75" hidden="true" customHeight="true" outlineLevel="0" collapsed="false">
      <c r="A348" s="63" t="n">
        <v>2022</v>
      </c>
      <c r="B348" s="79" t="s">
        <v>65</v>
      </c>
      <c r="C348" s="79"/>
      <c r="D348" s="63"/>
      <c r="E348" s="63"/>
      <c r="F348" s="63"/>
      <c r="G348" s="63"/>
    </row>
    <row r="349" customFormat="false" ht="15.75" hidden="true" customHeight="true" outlineLevel="0" collapsed="false">
      <c r="A349" s="63" t="n">
        <v>2022</v>
      </c>
      <c r="B349" s="79" t="s">
        <v>65</v>
      </c>
      <c r="C349" s="79"/>
      <c r="D349" s="63"/>
      <c r="E349" s="63"/>
      <c r="F349" s="63"/>
      <c r="G349" s="63"/>
    </row>
    <row r="350" customFormat="false" ht="15.75" hidden="true" customHeight="true" outlineLevel="0" collapsed="false">
      <c r="A350" s="63" t="n">
        <v>2022</v>
      </c>
      <c r="B350" s="79" t="s">
        <v>65</v>
      </c>
      <c r="C350" s="79"/>
      <c r="D350" s="63"/>
      <c r="E350" s="63"/>
      <c r="F350" s="63"/>
      <c r="G350" s="63"/>
    </row>
    <row r="351" customFormat="false" ht="15.75" hidden="true" customHeight="true" outlineLevel="0" collapsed="false">
      <c r="A351" s="63" t="n">
        <v>2022</v>
      </c>
      <c r="B351" s="79" t="s">
        <v>65</v>
      </c>
      <c r="C351" s="79"/>
      <c r="D351" s="63"/>
      <c r="E351" s="63"/>
      <c r="F351" s="63"/>
      <c r="G351" s="63"/>
    </row>
    <row r="352" customFormat="false" ht="15.75" hidden="true" customHeight="true" outlineLevel="0" collapsed="false">
      <c r="A352" s="63" t="n">
        <v>2022</v>
      </c>
      <c r="B352" s="79" t="s">
        <v>65</v>
      </c>
      <c r="C352" s="79"/>
      <c r="D352" s="63"/>
      <c r="E352" s="63"/>
      <c r="F352" s="63"/>
      <c r="G352" s="63"/>
    </row>
    <row r="353" customFormat="false" ht="15.75" hidden="true" customHeight="true" outlineLevel="0" collapsed="false">
      <c r="A353" s="63" t="n">
        <v>2022</v>
      </c>
      <c r="B353" s="79" t="s">
        <v>65</v>
      </c>
      <c r="C353" s="79"/>
      <c r="D353" s="63"/>
      <c r="E353" s="63"/>
      <c r="F353" s="63"/>
      <c r="G353" s="63"/>
    </row>
    <row r="354" customFormat="false" ht="15.75" hidden="true" customHeight="true" outlineLevel="0" collapsed="false">
      <c r="A354" s="63" t="n">
        <v>2022</v>
      </c>
      <c r="B354" s="79" t="s">
        <v>65</v>
      </c>
      <c r="C354" s="79"/>
      <c r="D354" s="63"/>
      <c r="E354" s="63"/>
      <c r="F354" s="63"/>
      <c r="G354" s="63"/>
    </row>
    <row r="355" customFormat="false" ht="15.75" hidden="true" customHeight="true" outlineLevel="0" collapsed="false">
      <c r="A355" s="63" t="n">
        <v>2022</v>
      </c>
      <c r="B355" s="79" t="s">
        <v>65</v>
      </c>
      <c r="C355" s="79"/>
      <c r="D355" s="63"/>
      <c r="E355" s="63"/>
      <c r="F355" s="63"/>
      <c r="G355" s="63"/>
    </row>
    <row r="356" customFormat="false" ht="15.75" hidden="true" customHeight="true" outlineLevel="0" collapsed="false">
      <c r="A356" s="63" t="n">
        <v>2022</v>
      </c>
      <c r="B356" s="79" t="s">
        <v>65</v>
      </c>
      <c r="C356" s="79"/>
      <c r="D356" s="63"/>
      <c r="E356" s="63"/>
      <c r="F356" s="63"/>
      <c r="G356" s="63"/>
    </row>
    <row r="357" customFormat="false" ht="15.75" hidden="true" customHeight="true" outlineLevel="0" collapsed="false">
      <c r="A357" s="63" t="n">
        <v>2022</v>
      </c>
      <c r="B357" s="79" t="s">
        <v>65</v>
      </c>
      <c r="C357" s="79"/>
      <c r="D357" s="63"/>
      <c r="E357" s="63"/>
      <c r="F357" s="63"/>
      <c r="G357" s="63"/>
    </row>
    <row r="358" customFormat="false" ht="15.75" hidden="true" customHeight="true" outlineLevel="0" collapsed="false">
      <c r="A358" s="63" t="n">
        <v>2022</v>
      </c>
      <c r="B358" s="79" t="s">
        <v>65</v>
      </c>
      <c r="C358" s="79"/>
      <c r="D358" s="63"/>
      <c r="E358" s="63"/>
      <c r="F358" s="63"/>
      <c r="G358" s="63"/>
    </row>
    <row r="359" customFormat="false" ht="15.75" hidden="true" customHeight="true" outlineLevel="0" collapsed="false">
      <c r="A359" s="63" t="n">
        <v>2022</v>
      </c>
      <c r="B359" s="79" t="s">
        <v>65</v>
      </c>
      <c r="C359" s="79"/>
      <c r="D359" s="63"/>
      <c r="E359" s="63"/>
      <c r="F359" s="63"/>
      <c r="G359" s="63"/>
    </row>
    <row r="360" customFormat="false" ht="15.75" hidden="true" customHeight="true" outlineLevel="0" collapsed="false">
      <c r="A360" s="63" t="n">
        <v>2022</v>
      </c>
      <c r="B360" s="79" t="s">
        <v>65</v>
      </c>
      <c r="C360" s="79"/>
      <c r="D360" s="63"/>
      <c r="E360" s="63"/>
      <c r="F360" s="63"/>
      <c r="G360" s="63"/>
    </row>
    <row r="361" customFormat="false" ht="15.75" hidden="true" customHeight="true" outlineLevel="0" collapsed="false">
      <c r="A361" s="99" t="s">
        <v>397</v>
      </c>
      <c r="B361" s="99"/>
      <c r="C361" s="99"/>
      <c r="D361" s="99"/>
      <c r="E361" s="99"/>
      <c r="F361" s="99"/>
      <c r="G361" s="99"/>
    </row>
    <row r="362" customFormat="false" ht="15.75" hidden="true" customHeight="true" outlineLevel="0" collapsed="false">
      <c r="A362" s="63" t="n">
        <v>2022</v>
      </c>
      <c r="B362" s="79" t="s">
        <v>108</v>
      </c>
      <c r="C362" s="79"/>
      <c r="D362" s="63"/>
      <c r="E362" s="63"/>
      <c r="F362" s="63"/>
      <c r="G362" s="63"/>
    </row>
    <row r="363" customFormat="false" ht="15.75" hidden="true" customHeight="true" outlineLevel="0" collapsed="false">
      <c r="A363" s="63" t="n">
        <v>2022</v>
      </c>
      <c r="B363" s="79" t="s">
        <v>108</v>
      </c>
      <c r="C363" s="79"/>
      <c r="D363" s="63"/>
      <c r="E363" s="63"/>
      <c r="F363" s="63"/>
      <c r="G363" s="63"/>
    </row>
    <row r="364" customFormat="false" ht="15.75" hidden="true" customHeight="true" outlineLevel="0" collapsed="false">
      <c r="A364" s="63" t="n">
        <v>2022</v>
      </c>
      <c r="B364" s="79" t="s">
        <v>108</v>
      </c>
      <c r="C364" s="79"/>
      <c r="D364" s="63"/>
      <c r="E364" s="63"/>
      <c r="F364" s="63"/>
      <c r="G364" s="63"/>
    </row>
    <row r="365" customFormat="false" ht="15.75" hidden="true" customHeight="true" outlineLevel="0" collapsed="false">
      <c r="A365" s="63" t="n">
        <v>2022</v>
      </c>
      <c r="B365" s="79" t="s">
        <v>108</v>
      </c>
      <c r="C365" s="79"/>
      <c r="D365" s="63"/>
      <c r="E365" s="63"/>
      <c r="F365" s="63"/>
      <c r="G365" s="63"/>
    </row>
    <row r="366" customFormat="false" ht="15.75" hidden="true" customHeight="true" outlineLevel="0" collapsed="false">
      <c r="A366" s="63" t="n">
        <v>2022</v>
      </c>
      <c r="B366" s="79" t="s">
        <v>108</v>
      </c>
      <c r="C366" s="79"/>
      <c r="D366" s="63"/>
      <c r="E366" s="63"/>
      <c r="F366" s="63"/>
      <c r="G366" s="63"/>
    </row>
    <row r="367" customFormat="false" ht="15.75" hidden="true" customHeight="true" outlineLevel="0" collapsed="false">
      <c r="A367" s="63" t="n">
        <v>2022</v>
      </c>
      <c r="B367" s="79" t="s">
        <v>108</v>
      </c>
      <c r="C367" s="79"/>
      <c r="D367" s="63"/>
      <c r="E367" s="63"/>
      <c r="F367" s="63"/>
      <c r="G367" s="63"/>
    </row>
    <row r="368" customFormat="false" ht="15.75" hidden="true" customHeight="true" outlineLevel="0" collapsed="false">
      <c r="A368" s="63" t="n">
        <v>2022</v>
      </c>
      <c r="B368" s="79" t="s">
        <v>108</v>
      </c>
      <c r="C368" s="79"/>
      <c r="D368" s="63"/>
      <c r="E368" s="63"/>
      <c r="F368" s="63"/>
      <c r="G368" s="63"/>
    </row>
    <row r="369" customFormat="false" ht="15.75" hidden="true" customHeight="true" outlineLevel="0" collapsed="false">
      <c r="A369" s="63" t="n">
        <v>2022</v>
      </c>
      <c r="B369" s="79" t="s">
        <v>108</v>
      </c>
      <c r="C369" s="79"/>
      <c r="D369" s="63"/>
      <c r="E369" s="63"/>
      <c r="F369" s="63"/>
      <c r="G369" s="63"/>
    </row>
    <row r="370" customFormat="false" ht="15.75" hidden="true" customHeight="true" outlineLevel="0" collapsed="false">
      <c r="A370" s="63" t="n">
        <v>2022</v>
      </c>
      <c r="B370" s="79" t="s">
        <v>108</v>
      </c>
      <c r="C370" s="79"/>
      <c r="D370" s="63"/>
      <c r="E370" s="63"/>
      <c r="F370" s="63"/>
      <c r="G370" s="63"/>
    </row>
    <row r="371" customFormat="false" ht="15.75" hidden="true" customHeight="true" outlineLevel="0" collapsed="false">
      <c r="A371" s="63" t="n">
        <v>2022</v>
      </c>
      <c r="B371" s="79" t="s">
        <v>108</v>
      </c>
      <c r="C371" s="79"/>
      <c r="D371" s="63"/>
      <c r="E371" s="63"/>
      <c r="F371" s="63"/>
      <c r="G371" s="63"/>
    </row>
    <row r="372" customFormat="false" ht="15.75" hidden="true" customHeight="true" outlineLevel="0" collapsed="false">
      <c r="A372" s="63" t="n">
        <v>2022</v>
      </c>
      <c r="B372" s="79" t="s">
        <v>108</v>
      </c>
      <c r="C372" s="79"/>
      <c r="D372" s="63"/>
      <c r="E372" s="63"/>
      <c r="F372" s="63"/>
      <c r="G372" s="63"/>
    </row>
    <row r="373" customFormat="false" ht="15.75" hidden="true" customHeight="true" outlineLevel="0" collapsed="false">
      <c r="A373" s="63" t="n">
        <v>2022</v>
      </c>
      <c r="B373" s="79" t="s">
        <v>108</v>
      </c>
      <c r="C373" s="79"/>
      <c r="D373" s="63"/>
      <c r="E373" s="63"/>
      <c r="F373" s="63"/>
      <c r="G373" s="63"/>
    </row>
    <row r="374" customFormat="false" ht="15.75" hidden="true" customHeight="true" outlineLevel="0" collapsed="false">
      <c r="A374" s="63" t="n">
        <v>2022</v>
      </c>
      <c r="B374" s="79" t="s">
        <v>108</v>
      </c>
      <c r="C374" s="79"/>
      <c r="D374" s="63"/>
      <c r="E374" s="63"/>
      <c r="F374" s="63"/>
      <c r="G374" s="63"/>
    </row>
    <row r="375" customFormat="false" ht="15.75" hidden="true" customHeight="true" outlineLevel="0" collapsed="false">
      <c r="A375" s="63" t="n">
        <v>2022</v>
      </c>
      <c r="B375" s="79" t="s">
        <v>108</v>
      </c>
      <c r="C375" s="79"/>
      <c r="D375" s="63"/>
      <c r="E375" s="63"/>
      <c r="F375" s="63"/>
      <c r="G375" s="63"/>
    </row>
    <row r="376" customFormat="false" ht="15.75" hidden="true" customHeight="true" outlineLevel="0" collapsed="false">
      <c r="A376" s="63" t="n">
        <v>2022</v>
      </c>
      <c r="B376" s="79" t="s">
        <v>108</v>
      </c>
      <c r="C376" s="79"/>
      <c r="D376" s="63"/>
      <c r="E376" s="63"/>
      <c r="F376" s="63"/>
      <c r="G376" s="63"/>
    </row>
    <row r="377" customFormat="false" ht="15.75" hidden="true" customHeight="true" outlineLevel="0" collapsed="false">
      <c r="A377" s="63" t="n">
        <v>2022</v>
      </c>
      <c r="B377" s="79" t="s">
        <v>108</v>
      </c>
      <c r="C377" s="79"/>
      <c r="D377" s="63"/>
      <c r="E377" s="63"/>
      <c r="F377" s="63"/>
      <c r="G377" s="63"/>
    </row>
    <row r="378" customFormat="false" ht="15.75" hidden="true" customHeight="true" outlineLevel="0" collapsed="false">
      <c r="A378" s="63" t="n">
        <v>2022</v>
      </c>
      <c r="B378" s="79" t="s">
        <v>108</v>
      </c>
      <c r="C378" s="79"/>
      <c r="D378" s="63"/>
      <c r="E378" s="63"/>
      <c r="F378" s="63"/>
      <c r="G378" s="63"/>
    </row>
    <row r="379" customFormat="false" ht="15.75" hidden="true" customHeight="true" outlineLevel="0" collapsed="false">
      <c r="A379" s="63" t="n">
        <v>2022</v>
      </c>
      <c r="B379" s="79" t="s">
        <v>108</v>
      </c>
      <c r="C379" s="79"/>
      <c r="D379" s="63"/>
      <c r="E379" s="63"/>
      <c r="F379" s="63"/>
      <c r="G379" s="63"/>
    </row>
    <row r="380" customFormat="false" ht="15.75" hidden="true" customHeight="true" outlineLevel="0" collapsed="false">
      <c r="A380" s="63" t="n">
        <v>2022</v>
      </c>
      <c r="B380" s="79" t="s">
        <v>108</v>
      </c>
      <c r="C380" s="79"/>
      <c r="D380" s="63"/>
      <c r="E380" s="63"/>
      <c r="F380" s="63"/>
      <c r="G380" s="63"/>
    </row>
    <row r="381" customFormat="false" ht="15.75" hidden="true" customHeight="true" outlineLevel="0" collapsed="false">
      <c r="A381" s="63" t="n">
        <v>2022</v>
      </c>
      <c r="B381" s="79" t="s">
        <v>108</v>
      </c>
      <c r="C381" s="79"/>
      <c r="D381" s="63"/>
      <c r="E381" s="63"/>
      <c r="F381" s="63"/>
      <c r="G381" s="63"/>
    </row>
    <row r="382" customFormat="false" ht="15.75" hidden="true" customHeight="true" outlineLevel="0" collapsed="false">
      <c r="A382" s="99" t="s">
        <v>398</v>
      </c>
      <c r="B382" s="99"/>
      <c r="C382" s="99"/>
      <c r="D382" s="99"/>
      <c r="E382" s="99"/>
      <c r="F382" s="99"/>
      <c r="G382" s="99"/>
    </row>
    <row r="383" customFormat="false" ht="15.75" hidden="true" customHeight="true" outlineLevel="0" collapsed="false">
      <c r="A383" s="63" t="n">
        <v>2022</v>
      </c>
      <c r="B383" s="79" t="s">
        <v>137</v>
      </c>
      <c r="C383" s="79"/>
      <c r="D383" s="63"/>
      <c r="E383" s="63"/>
      <c r="F383" s="63"/>
      <c r="G383" s="63"/>
    </row>
    <row r="384" customFormat="false" ht="15.75" hidden="true" customHeight="true" outlineLevel="0" collapsed="false">
      <c r="A384" s="63" t="n">
        <v>2022</v>
      </c>
      <c r="B384" s="79" t="s">
        <v>137</v>
      </c>
      <c r="C384" s="79"/>
      <c r="D384" s="63"/>
      <c r="E384" s="63"/>
      <c r="F384" s="63"/>
      <c r="G384" s="63"/>
    </row>
    <row r="385" customFormat="false" ht="15.75" hidden="true" customHeight="true" outlineLevel="0" collapsed="false">
      <c r="A385" s="63" t="n">
        <v>2022</v>
      </c>
      <c r="B385" s="79" t="s">
        <v>137</v>
      </c>
      <c r="C385" s="79"/>
      <c r="D385" s="63"/>
      <c r="E385" s="63"/>
      <c r="F385" s="63"/>
      <c r="G385" s="63"/>
    </row>
    <row r="386" customFormat="false" ht="15.75" hidden="true" customHeight="true" outlineLevel="0" collapsed="false">
      <c r="A386" s="63" t="n">
        <v>2022</v>
      </c>
      <c r="B386" s="79" t="s">
        <v>137</v>
      </c>
      <c r="C386" s="79"/>
      <c r="D386" s="63"/>
      <c r="E386" s="63"/>
      <c r="F386" s="63"/>
      <c r="G386" s="63"/>
    </row>
    <row r="387" customFormat="false" ht="15.75" hidden="true" customHeight="true" outlineLevel="0" collapsed="false">
      <c r="A387" s="63" t="n">
        <v>2022</v>
      </c>
      <c r="B387" s="79" t="s">
        <v>137</v>
      </c>
      <c r="C387" s="79"/>
      <c r="D387" s="63"/>
      <c r="E387" s="63"/>
      <c r="F387" s="63"/>
      <c r="G387" s="63"/>
    </row>
    <row r="388" customFormat="false" ht="15.75" hidden="true" customHeight="true" outlineLevel="0" collapsed="false">
      <c r="A388" s="63" t="n">
        <v>2022</v>
      </c>
      <c r="B388" s="79" t="s">
        <v>137</v>
      </c>
      <c r="C388" s="79"/>
      <c r="D388" s="63"/>
      <c r="E388" s="63"/>
      <c r="F388" s="63"/>
      <c r="G388" s="63"/>
    </row>
    <row r="389" customFormat="false" ht="15.75" hidden="true" customHeight="true" outlineLevel="0" collapsed="false">
      <c r="A389" s="63" t="n">
        <v>2022</v>
      </c>
      <c r="B389" s="79" t="s">
        <v>137</v>
      </c>
      <c r="C389" s="79"/>
      <c r="D389" s="63"/>
      <c r="E389" s="63"/>
      <c r="F389" s="63"/>
      <c r="G389" s="63"/>
    </row>
    <row r="390" customFormat="false" ht="15.75" hidden="true" customHeight="true" outlineLevel="0" collapsed="false">
      <c r="A390" s="63" t="n">
        <v>2022</v>
      </c>
      <c r="B390" s="79" t="s">
        <v>137</v>
      </c>
      <c r="C390" s="79"/>
      <c r="D390" s="63"/>
      <c r="E390" s="63"/>
      <c r="F390" s="63"/>
      <c r="G390" s="63"/>
    </row>
    <row r="391" customFormat="false" ht="15.75" hidden="true" customHeight="true" outlineLevel="0" collapsed="false">
      <c r="A391" s="63" t="n">
        <v>2022</v>
      </c>
      <c r="B391" s="79" t="s">
        <v>137</v>
      </c>
      <c r="C391" s="79"/>
      <c r="D391" s="63"/>
      <c r="E391" s="63"/>
      <c r="F391" s="63"/>
      <c r="G391" s="63"/>
    </row>
    <row r="392" customFormat="false" ht="15.75" hidden="true" customHeight="true" outlineLevel="0" collapsed="false">
      <c r="A392" s="63" t="n">
        <v>2022</v>
      </c>
      <c r="B392" s="79" t="s">
        <v>137</v>
      </c>
      <c r="C392" s="79"/>
      <c r="D392" s="63"/>
      <c r="E392" s="63"/>
      <c r="F392" s="63"/>
      <c r="G392" s="63"/>
    </row>
    <row r="393" customFormat="false" ht="15.75" hidden="true" customHeight="true" outlineLevel="0" collapsed="false">
      <c r="A393" s="63" t="n">
        <v>2022</v>
      </c>
      <c r="B393" s="79" t="s">
        <v>137</v>
      </c>
      <c r="C393" s="79"/>
      <c r="D393" s="63"/>
      <c r="E393" s="63"/>
      <c r="F393" s="63"/>
      <c r="G393" s="63"/>
    </row>
    <row r="394" customFormat="false" ht="15.75" hidden="true" customHeight="true" outlineLevel="0" collapsed="false">
      <c r="A394" s="63" t="n">
        <v>2022</v>
      </c>
      <c r="B394" s="79" t="s">
        <v>137</v>
      </c>
      <c r="C394" s="79"/>
      <c r="D394" s="63"/>
      <c r="E394" s="63"/>
      <c r="F394" s="63"/>
      <c r="G394" s="63"/>
    </row>
    <row r="395" customFormat="false" ht="15.75" hidden="true" customHeight="true" outlineLevel="0" collapsed="false">
      <c r="A395" s="63" t="n">
        <v>2022</v>
      </c>
      <c r="B395" s="79" t="s">
        <v>137</v>
      </c>
      <c r="C395" s="79"/>
      <c r="D395" s="63"/>
      <c r="E395" s="63"/>
      <c r="F395" s="63"/>
      <c r="G395" s="63"/>
    </row>
    <row r="396" customFormat="false" ht="15.75" hidden="true" customHeight="true" outlineLevel="0" collapsed="false">
      <c r="A396" s="63" t="n">
        <v>2022</v>
      </c>
      <c r="B396" s="79" t="s">
        <v>137</v>
      </c>
      <c r="C396" s="79"/>
      <c r="D396" s="63"/>
      <c r="E396" s="63"/>
      <c r="F396" s="63"/>
      <c r="G396" s="63"/>
    </row>
    <row r="397" customFormat="false" ht="15.75" hidden="true" customHeight="true" outlineLevel="0" collapsed="false">
      <c r="A397" s="63" t="n">
        <v>2022</v>
      </c>
      <c r="B397" s="79" t="s">
        <v>137</v>
      </c>
      <c r="C397" s="79"/>
      <c r="D397" s="63"/>
      <c r="E397" s="63"/>
      <c r="F397" s="63"/>
      <c r="G397" s="63"/>
    </row>
    <row r="398" customFormat="false" ht="15.75" hidden="true" customHeight="true" outlineLevel="0" collapsed="false">
      <c r="A398" s="63" t="n">
        <v>2022</v>
      </c>
      <c r="B398" s="79" t="s">
        <v>137</v>
      </c>
      <c r="C398" s="79"/>
      <c r="D398" s="63"/>
      <c r="E398" s="63"/>
      <c r="F398" s="63"/>
      <c r="G398" s="63"/>
    </row>
    <row r="399" customFormat="false" ht="15.75" hidden="true" customHeight="true" outlineLevel="0" collapsed="false">
      <c r="A399" s="63" t="n">
        <v>2022</v>
      </c>
      <c r="B399" s="79" t="s">
        <v>137</v>
      </c>
      <c r="C399" s="79"/>
      <c r="D399" s="63"/>
      <c r="E399" s="63"/>
      <c r="F399" s="63"/>
      <c r="G399" s="63"/>
    </row>
    <row r="400" customFormat="false" ht="15.75" hidden="true" customHeight="true" outlineLevel="0" collapsed="false">
      <c r="A400" s="63" t="n">
        <v>2022</v>
      </c>
      <c r="B400" s="79" t="s">
        <v>137</v>
      </c>
      <c r="C400" s="79"/>
      <c r="D400" s="63"/>
      <c r="E400" s="63"/>
      <c r="F400" s="63"/>
      <c r="G400" s="63"/>
    </row>
    <row r="401" customFormat="false" ht="15.75" hidden="true" customHeight="true" outlineLevel="0" collapsed="false">
      <c r="A401" s="63" t="n">
        <v>2022</v>
      </c>
      <c r="B401" s="79" t="s">
        <v>137</v>
      </c>
      <c r="C401" s="79"/>
      <c r="D401" s="63"/>
      <c r="E401" s="63"/>
      <c r="F401" s="63"/>
      <c r="G401" s="63"/>
    </row>
    <row r="402" customFormat="false" ht="15.75" hidden="true" customHeight="true" outlineLevel="0" collapsed="false">
      <c r="A402" s="63" t="n">
        <v>2022</v>
      </c>
      <c r="B402" s="79" t="s">
        <v>137</v>
      </c>
      <c r="C402" s="79"/>
      <c r="D402" s="63"/>
      <c r="E402" s="63"/>
      <c r="F402" s="63"/>
      <c r="G402" s="63"/>
    </row>
    <row r="403" customFormat="false" ht="15.75" hidden="true" customHeight="true" outlineLevel="0" collapsed="false">
      <c r="A403" s="99" t="s">
        <v>399</v>
      </c>
      <c r="B403" s="99"/>
      <c r="C403" s="99"/>
      <c r="D403" s="99"/>
      <c r="E403" s="99"/>
      <c r="F403" s="99"/>
      <c r="G403" s="99"/>
    </row>
    <row r="404" customFormat="false" ht="15.75" hidden="true" customHeight="true" outlineLevel="0" collapsed="false">
      <c r="A404" s="63" t="n">
        <v>2022</v>
      </c>
      <c r="B404" s="79" t="s">
        <v>166</v>
      </c>
      <c r="C404" s="79"/>
      <c r="D404" s="63"/>
      <c r="E404" s="63"/>
      <c r="F404" s="63"/>
      <c r="G404" s="63"/>
    </row>
    <row r="405" customFormat="false" ht="15.75" hidden="true" customHeight="true" outlineLevel="0" collapsed="false">
      <c r="A405" s="63" t="n">
        <v>2022</v>
      </c>
      <c r="B405" s="79" t="s">
        <v>166</v>
      </c>
      <c r="C405" s="79"/>
      <c r="D405" s="63"/>
      <c r="E405" s="63"/>
      <c r="F405" s="63"/>
      <c r="G405" s="63"/>
    </row>
    <row r="406" customFormat="false" ht="15.75" hidden="true" customHeight="true" outlineLevel="0" collapsed="false">
      <c r="A406" s="63" t="n">
        <v>2022</v>
      </c>
      <c r="B406" s="79" t="s">
        <v>166</v>
      </c>
      <c r="C406" s="79"/>
      <c r="D406" s="63"/>
      <c r="E406" s="63"/>
      <c r="F406" s="63"/>
      <c r="G406" s="63"/>
    </row>
    <row r="407" customFormat="false" ht="15.75" hidden="true" customHeight="true" outlineLevel="0" collapsed="false">
      <c r="A407" s="63" t="n">
        <v>2022</v>
      </c>
      <c r="B407" s="79" t="s">
        <v>166</v>
      </c>
      <c r="C407" s="79"/>
      <c r="D407" s="63"/>
      <c r="E407" s="63"/>
      <c r="F407" s="63"/>
      <c r="G407" s="63"/>
    </row>
    <row r="408" customFormat="false" ht="15.75" hidden="true" customHeight="true" outlineLevel="0" collapsed="false">
      <c r="A408" s="63" t="n">
        <v>2022</v>
      </c>
      <c r="B408" s="79" t="s">
        <v>166</v>
      </c>
      <c r="C408" s="79"/>
      <c r="D408" s="63"/>
      <c r="E408" s="63"/>
      <c r="F408" s="63"/>
      <c r="G408" s="63"/>
    </row>
    <row r="409" customFormat="false" ht="15.75" hidden="true" customHeight="true" outlineLevel="0" collapsed="false">
      <c r="A409" s="63" t="n">
        <v>2022</v>
      </c>
      <c r="B409" s="79" t="s">
        <v>166</v>
      </c>
      <c r="C409" s="79"/>
      <c r="D409" s="63"/>
      <c r="E409" s="63"/>
      <c r="F409" s="63"/>
      <c r="G409" s="63"/>
    </row>
    <row r="410" customFormat="false" ht="15.75" hidden="true" customHeight="true" outlineLevel="0" collapsed="false">
      <c r="A410" s="63" t="n">
        <v>2022</v>
      </c>
      <c r="B410" s="79" t="s">
        <v>166</v>
      </c>
      <c r="C410" s="79"/>
      <c r="D410" s="63"/>
      <c r="E410" s="63"/>
      <c r="F410" s="63"/>
      <c r="G410" s="63"/>
    </row>
    <row r="411" customFormat="false" ht="15.75" hidden="true" customHeight="true" outlineLevel="0" collapsed="false">
      <c r="A411" s="63" t="n">
        <v>2022</v>
      </c>
      <c r="B411" s="79" t="s">
        <v>166</v>
      </c>
      <c r="C411" s="79"/>
      <c r="D411" s="63"/>
      <c r="E411" s="63"/>
      <c r="F411" s="63"/>
      <c r="G411" s="63"/>
    </row>
    <row r="412" customFormat="false" ht="15.75" hidden="true" customHeight="true" outlineLevel="0" collapsed="false">
      <c r="A412" s="63" t="n">
        <v>2022</v>
      </c>
      <c r="B412" s="79" t="s">
        <v>166</v>
      </c>
      <c r="C412" s="79"/>
      <c r="D412" s="63"/>
      <c r="E412" s="63"/>
      <c r="F412" s="63"/>
      <c r="G412" s="63"/>
    </row>
    <row r="413" customFormat="false" ht="15.75" hidden="true" customHeight="true" outlineLevel="0" collapsed="false">
      <c r="A413" s="63" t="n">
        <v>2022</v>
      </c>
      <c r="B413" s="79" t="s">
        <v>166</v>
      </c>
      <c r="C413" s="79"/>
      <c r="D413" s="63"/>
      <c r="E413" s="63"/>
      <c r="F413" s="63"/>
      <c r="G413" s="63"/>
    </row>
    <row r="414" customFormat="false" ht="15.75" hidden="true" customHeight="true" outlineLevel="0" collapsed="false">
      <c r="A414" s="63" t="n">
        <v>2022</v>
      </c>
      <c r="B414" s="79" t="s">
        <v>166</v>
      </c>
      <c r="C414" s="79"/>
      <c r="D414" s="63"/>
      <c r="E414" s="63"/>
      <c r="F414" s="63"/>
      <c r="G414" s="63"/>
    </row>
    <row r="415" customFormat="false" ht="15.75" hidden="true" customHeight="true" outlineLevel="0" collapsed="false">
      <c r="A415" s="63" t="n">
        <v>2022</v>
      </c>
      <c r="B415" s="79" t="s">
        <v>166</v>
      </c>
      <c r="C415" s="79"/>
      <c r="D415" s="63"/>
      <c r="E415" s="63"/>
      <c r="F415" s="63"/>
      <c r="G415" s="63"/>
    </row>
    <row r="416" customFormat="false" ht="15.75" hidden="true" customHeight="true" outlineLevel="0" collapsed="false">
      <c r="A416" s="63" t="n">
        <v>2022</v>
      </c>
      <c r="B416" s="79" t="s">
        <v>166</v>
      </c>
      <c r="C416" s="79"/>
      <c r="D416" s="63"/>
      <c r="E416" s="63"/>
      <c r="F416" s="63"/>
      <c r="G416" s="63"/>
    </row>
    <row r="417" customFormat="false" ht="15.75" hidden="true" customHeight="true" outlineLevel="0" collapsed="false">
      <c r="A417" s="63" t="n">
        <v>2022</v>
      </c>
      <c r="B417" s="79" t="s">
        <v>166</v>
      </c>
      <c r="C417" s="79"/>
      <c r="D417" s="63"/>
      <c r="E417" s="63"/>
      <c r="F417" s="63"/>
      <c r="G417" s="63"/>
    </row>
    <row r="418" customFormat="false" ht="15.75" hidden="true" customHeight="true" outlineLevel="0" collapsed="false">
      <c r="A418" s="63" t="n">
        <v>2022</v>
      </c>
      <c r="B418" s="79" t="s">
        <v>166</v>
      </c>
      <c r="C418" s="79"/>
      <c r="D418" s="63"/>
      <c r="E418" s="63"/>
      <c r="F418" s="63"/>
      <c r="G418" s="63"/>
    </row>
    <row r="419" customFormat="false" ht="15.75" hidden="true" customHeight="true" outlineLevel="0" collapsed="false">
      <c r="A419" s="63" t="n">
        <v>2022</v>
      </c>
      <c r="B419" s="79" t="s">
        <v>166</v>
      </c>
      <c r="C419" s="79"/>
      <c r="D419" s="63"/>
      <c r="E419" s="63"/>
      <c r="F419" s="63"/>
      <c r="G419" s="63"/>
    </row>
    <row r="420" customFormat="false" ht="15.75" hidden="true" customHeight="true" outlineLevel="0" collapsed="false">
      <c r="A420" s="63" t="n">
        <v>2022</v>
      </c>
      <c r="B420" s="79" t="s">
        <v>166</v>
      </c>
      <c r="C420" s="79"/>
      <c r="D420" s="63"/>
      <c r="E420" s="63"/>
      <c r="F420" s="63"/>
      <c r="G420" s="63"/>
    </row>
    <row r="421" customFormat="false" ht="15.75" hidden="true" customHeight="true" outlineLevel="0" collapsed="false">
      <c r="A421" s="63" t="n">
        <v>2022</v>
      </c>
      <c r="B421" s="79" t="s">
        <v>166</v>
      </c>
      <c r="C421" s="79"/>
      <c r="D421" s="63"/>
      <c r="E421" s="63"/>
      <c r="F421" s="63"/>
      <c r="G421" s="63"/>
    </row>
    <row r="422" customFormat="false" ht="15.75" hidden="true" customHeight="true" outlineLevel="0" collapsed="false">
      <c r="A422" s="63" t="n">
        <v>2022</v>
      </c>
      <c r="B422" s="79" t="s">
        <v>166</v>
      </c>
      <c r="C422" s="79"/>
      <c r="D422" s="63"/>
      <c r="E422" s="63"/>
      <c r="F422" s="63"/>
      <c r="G422" s="63"/>
    </row>
    <row r="423" customFormat="false" ht="15.75" hidden="true" customHeight="true" outlineLevel="0" collapsed="false">
      <c r="A423" s="63" t="n">
        <v>2022</v>
      </c>
      <c r="B423" s="79" t="s">
        <v>166</v>
      </c>
      <c r="C423" s="79"/>
      <c r="D423" s="63"/>
      <c r="E423" s="63"/>
      <c r="F423" s="63"/>
      <c r="G423" s="63"/>
    </row>
    <row r="424" customFormat="false" ht="15.75" hidden="true" customHeight="true" outlineLevel="0" collapsed="false">
      <c r="A424" s="99" t="s">
        <v>400</v>
      </c>
      <c r="B424" s="99"/>
      <c r="C424" s="99"/>
      <c r="D424" s="99"/>
      <c r="E424" s="99"/>
      <c r="F424" s="99"/>
      <c r="G424" s="99"/>
    </row>
    <row r="425" customFormat="false" ht="15.75" hidden="true" customHeight="true" outlineLevel="0" collapsed="false">
      <c r="A425" s="63" t="n">
        <v>2022</v>
      </c>
      <c r="B425" s="79" t="s">
        <v>334</v>
      </c>
      <c r="C425" s="79"/>
      <c r="D425" s="63"/>
      <c r="E425" s="63"/>
      <c r="F425" s="63"/>
      <c r="G425" s="63"/>
    </row>
    <row r="426" customFormat="false" ht="15.75" hidden="true" customHeight="true" outlineLevel="0" collapsed="false">
      <c r="A426" s="63" t="n">
        <v>2022</v>
      </c>
      <c r="B426" s="79" t="s">
        <v>334</v>
      </c>
      <c r="C426" s="79"/>
      <c r="D426" s="63"/>
      <c r="E426" s="63"/>
      <c r="F426" s="63"/>
      <c r="G426" s="63"/>
    </row>
    <row r="427" customFormat="false" ht="15.75" hidden="true" customHeight="true" outlineLevel="0" collapsed="false">
      <c r="A427" s="63" t="n">
        <v>2022</v>
      </c>
      <c r="B427" s="79" t="s">
        <v>334</v>
      </c>
      <c r="C427" s="79"/>
      <c r="D427" s="63"/>
      <c r="E427" s="63"/>
      <c r="F427" s="63"/>
      <c r="G427" s="63"/>
    </row>
    <row r="428" customFormat="false" ht="15.75" hidden="true" customHeight="true" outlineLevel="0" collapsed="false">
      <c r="A428" s="63" t="n">
        <v>2022</v>
      </c>
      <c r="B428" s="79" t="s">
        <v>334</v>
      </c>
      <c r="C428" s="79"/>
      <c r="D428" s="63"/>
      <c r="E428" s="63"/>
      <c r="F428" s="63"/>
      <c r="G428" s="63"/>
    </row>
    <row r="429" customFormat="false" ht="15.75" hidden="true" customHeight="true" outlineLevel="0" collapsed="false">
      <c r="A429" s="63" t="n">
        <v>2022</v>
      </c>
      <c r="B429" s="79" t="s">
        <v>334</v>
      </c>
      <c r="C429" s="79"/>
      <c r="D429" s="63"/>
      <c r="E429" s="63"/>
      <c r="F429" s="63"/>
      <c r="G429" s="63"/>
    </row>
    <row r="430" customFormat="false" ht="15.75" hidden="true" customHeight="true" outlineLevel="0" collapsed="false">
      <c r="A430" s="63" t="n">
        <v>2022</v>
      </c>
      <c r="B430" s="79" t="s">
        <v>334</v>
      </c>
      <c r="C430" s="79"/>
      <c r="D430" s="63"/>
      <c r="E430" s="63"/>
      <c r="F430" s="63"/>
      <c r="G430" s="63"/>
    </row>
    <row r="431" customFormat="false" ht="15.75" hidden="true" customHeight="true" outlineLevel="0" collapsed="false">
      <c r="A431" s="63" t="n">
        <v>2022</v>
      </c>
      <c r="B431" s="79" t="s">
        <v>334</v>
      </c>
      <c r="C431" s="79"/>
      <c r="D431" s="63"/>
      <c r="E431" s="63"/>
      <c r="F431" s="63"/>
      <c r="G431" s="63"/>
    </row>
    <row r="432" customFormat="false" ht="15.75" hidden="true" customHeight="true" outlineLevel="0" collapsed="false">
      <c r="A432" s="63" t="n">
        <v>2022</v>
      </c>
      <c r="B432" s="79" t="s">
        <v>334</v>
      </c>
      <c r="C432" s="79"/>
      <c r="D432" s="63"/>
      <c r="E432" s="63"/>
      <c r="F432" s="63"/>
      <c r="G432" s="63"/>
    </row>
    <row r="433" customFormat="false" ht="15.75" hidden="true" customHeight="true" outlineLevel="0" collapsed="false">
      <c r="A433" s="63" t="n">
        <v>2022</v>
      </c>
      <c r="B433" s="79" t="s">
        <v>334</v>
      </c>
      <c r="C433" s="79"/>
      <c r="D433" s="63"/>
      <c r="E433" s="63"/>
      <c r="F433" s="63"/>
      <c r="G433" s="63"/>
    </row>
    <row r="434" customFormat="false" ht="15.75" hidden="true" customHeight="true" outlineLevel="0" collapsed="false">
      <c r="A434" s="63" t="n">
        <v>2022</v>
      </c>
      <c r="B434" s="79" t="s">
        <v>334</v>
      </c>
      <c r="C434" s="79"/>
      <c r="D434" s="63"/>
      <c r="E434" s="63"/>
      <c r="F434" s="63"/>
      <c r="G434" s="63"/>
    </row>
    <row r="435" customFormat="false" ht="15.75" hidden="true" customHeight="true" outlineLevel="0" collapsed="false">
      <c r="A435" s="63" t="n">
        <v>2022</v>
      </c>
      <c r="B435" s="79" t="s">
        <v>334</v>
      </c>
      <c r="C435" s="79"/>
      <c r="D435" s="63"/>
      <c r="E435" s="63"/>
      <c r="F435" s="63"/>
      <c r="G435" s="63"/>
    </row>
    <row r="436" customFormat="false" ht="15.75" hidden="true" customHeight="true" outlineLevel="0" collapsed="false">
      <c r="A436" s="63" t="n">
        <v>2022</v>
      </c>
      <c r="B436" s="79" t="s">
        <v>334</v>
      </c>
      <c r="C436" s="79"/>
      <c r="D436" s="63"/>
      <c r="E436" s="63"/>
      <c r="F436" s="63"/>
      <c r="G436" s="63"/>
    </row>
    <row r="437" customFormat="false" ht="15.75" hidden="true" customHeight="true" outlineLevel="0" collapsed="false">
      <c r="A437" s="63" t="n">
        <v>2022</v>
      </c>
      <c r="B437" s="79" t="s">
        <v>334</v>
      </c>
      <c r="C437" s="79"/>
      <c r="D437" s="63"/>
      <c r="E437" s="63"/>
      <c r="F437" s="63"/>
      <c r="G437" s="63"/>
    </row>
    <row r="438" customFormat="false" ht="15.75" hidden="true" customHeight="true" outlineLevel="0" collapsed="false">
      <c r="A438" s="63" t="n">
        <v>2022</v>
      </c>
      <c r="B438" s="79" t="s">
        <v>334</v>
      </c>
      <c r="C438" s="79"/>
      <c r="D438" s="63"/>
      <c r="E438" s="63"/>
      <c r="F438" s="63"/>
      <c r="G438" s="63"/>
    </row>
    <row r="439" customFormat="false" ht="15.75" hidden="true" customHeight="true" outlineLevel="0" collapsed="false">
      <c r="A439" s="63" t="n">
        <v>2022</v>
      </c>
      <c r="B439" s="79" t="s">
        <v>334</v>
      </c>
      <c r="C439" s="79"/>
      <c r="D439" s="63"/>
      <c r="E439" s="63"/>
      <c r="F439" s="63"/>
      <c r="G439" s="63"/>
    </row>
    <row r="440" customFormat="false" ht="15.75" hidden="true" customHeight="true" outlineLevel="0" collapsed="false">
      <c r="A440" s="63" t="n">
        <v>2022</v>
      </c>
      <c r="B440" s="79" t="s">
        <v>334</v>
      </c>
      <c r="C440" s="79"/>
      <c r="D440" s="63"/>
      <c r="E440" s="63"/>
      <c r="F440" s="63"/>
      <c r="G440" s="63"/>
    </row>
    <row r="441" customFormat="false" ht="15.75" hidden="true" customHeight="true" outlineLevel="0" collapsed="false">
      <c r="A441" s="63" t="n">
        <v>2022</v>
      </c>
      <c r="B441" s="79" t="s">
        <v>334</v>
      </c>
      <c r="C441" s="79"/>
      <c r="D441" s="63"/>
      <c r="E441" s="63"/>
      <c r="F441" s="63"/>
      <c r="G441" s="63"/>
    </row>
    <row r="442" customFormat="false" ht="15.75" hidden="true" customHeight="true" outlineLevel="0" collapsed="false">
      <c r="A442" s="63" t="n">
        <v>2022</v>
      </c>
      <c r="B442" s="79" t="s">
        <v>334</v>
      </c>
      <c r="C442" s="79"/>
      <c r="D442" s="63"/>
      <c r="E442" s="63"/>
      <c r="F442" s="63"/>
      <c r="G442" s="63"/>
    </row>
    <row r="443" customFormat="false" ht="15.75" hidden="true" customHeight="true" outlineLevel="0" collapsed="false">
      <c r="A443" s="63" t="n">
        <v>2022</v>
      </c>
      <c r="B443" s="79" t="s">
        <v>334</v>
      </c>
      <c r="C443" s="79"/>
      <c r="D443" s="63"/>
      <c r="E443" s="63"/>
      <c r="F443" s="63"/>
      <c r="G443" s="63"/>
    </row>
    <row r="444" customFormat="false" ht="15.75" hidden="true" customHeight="true" outlineLevel="0" collapsed="false">
      <c r="A444" s="63" t="n">
        <v>2022</v>
      </c>
      <c r="B444" s="79" t="s">
        <v>334</v>
      </c>
      <c r="C444" s="79"/>
      <c r="D444" s="63"/>
      <c r="E444" s="63"/>
      <c r="F444" s="63"/>
      <c r="G444" s="63"/>
    </row>
    <row r="445" customFormat="false" ht="15.75" hidden="true" customHeight="true" outlineLevel="0" collapsed="false">
      <c r="A445" s="99" t="s">
        <v>401</v>
      </c>
      <c r="B445" s="99"/>
      <c r="C445" s="99"/>
      <c r="D445" s="99"/>
      <c r="E445" s="99"/>
      <c r="F445" s="99"/>
      <c r="G445" s="99"/>
    </row>
    <row r="446" customFormat="false" ht="15.75" hidden="true" customHeight="true" outlineLevel="0" collapsed="false">
      <c r="A446" s="63" t="n">
        <v>2022</v>
      </c>
      <c r="B446" s="79" t="s">
        <v>218</v>
      </c>
      <c r="C446" s="79"/>
      <c r="D446" s="63"/>
      <c r="E446" s="63"/>
      <c r="F446" s="63"/>
      <c r="G446" s="63"/>
    </row>
    <row r="447" customFormat="false" ht="15.75" hidden="true" customHeight="true" outlineLevel="0" collapsed="false">
      <c r="A447" s="63" t="n">
        <v>2022</v>
      </c>
      <c r="B447" s="79" t="s">
        <v>218</v>
      </c>
      <c r="C447" s="79"/>
      <c r="D447" s="63"/>
      <c r="E447" s="63"/>
      <c r="F447" s="63"/>
      <c r="G447" s="63"/>
    </row>
    <row r="448" customFormat="false" ht="15.75" hidden="true" customHeight="true" outlineLevel="0" collapsed="false">
      <c r="A448" s="63" t="n">
        <v>2022</v>
      </c>
      <c r="B448" s="79" t="s">
        <v>218</v>
      </c>
      <c r="C448" s="79"/>
      <c r="D448" s="63"/>
      <c r="E448" s="63"/>
      <c r="F448" s="63"/>
      <c r="G448" s="63"/>
    </row>
    <row r="449" customFormat="false" ht="15.75" hidden="true" customHeight="true" outlineLevel="0" collapsed="false">
      <c r="A449" s="63" t="n">
        <v>2022</v>
      </c>
      <c r="B449" s="79" t="s">
        <v>218</v>
      </c>
      <c r="C449" s="79"/>
      <c r="D449" s="63"/>
      <c r="E449" s="63"/>
      <c r="F449" s="63"/>
      <c r="G449" s="63"/>
    </row>
    <row r="450" customFormat="false" ht="15.75" hidden="true" customHeight="true" outlineLevel="0" collapsed="false">
      <c r="A450" s="63" t="n">
        <v>2022</v>
      </c>
      <c r="B450" s="79" t="s">
        <v>218</v>
      </c>
      <c r="C450" s="79"/>
      <c r="D450" s="63"/>
      <c r="E450" s="63"/>
      <c r="F450" s="63"/>
      <c r="G450" s="63"/>
    </row>
    <row r="451" customFormat="false" ht="15.75" hidden="true" customHeight="true" outlineLevel="0" collapsed="false">
      <c r="A451" s="63" t="n">
        <v>2022</v>
      </c>
      <c r="B451" s="79" t="s">
        <v>218</v>
      </c>
      <c r="C451" s="79"/>
      <c r="D451" s="63"/>
      <c r="E451" s="63"/>
      <c r="F451" s="63"/>
      <c r="G451" s="63"/>
    </row>
    <row r="452" customFormat="false" ht="15.75" hidden="true" customHeight="true" outlineLevel="0" collapsed="false">
      <c r="A452" s="63" t="n">
        <v>2022</v>
      </c>
      <c r="B452" s="79" t="s">
        <v>218</v>
      </c>
      <c r="C452" s="79"/>
      <c r="D452" s="63"/>
      <c r="E452" s="63"/>
      <c r="F452" s="63"/>
      <c r="G452" s="63"/>
    </row>
    <row r="453" customFormat="false" ht="15.75" hidden="true" customHeight="true" outlineLevel="0" collapsed="false">
      <c r="A453" s="63" t="n">
        <v>2022</v>
      </c>
      <c r="B453" s="79" t="s">
        <v>218</v>
      </c>
      <c r="C453" s="79"/>
      <c r="D453" s="63"/>
      <c r="E453" s="63"/>
      <c r="F453" s="63"/>
      <c r="G453" s="63"/>
    </row>
    <row r="454" customFormat="false" ht="15.75" hidden="true" customHeight="true" outlineLevel="0" collapsed="false">
      <c r="A454" s="63" t="n">
        <v>2022</v>
      </c>
      <c r="B454" s="79" t="s">
        <v>218</v>
      </c>
      <c r="C454" s="79"/>
      <c r="D454" s="63"/>
      <c r="E454" s="63"/>
      <c r="F454" s="63"/>
      <c r="G454" s="63"/>
    </row>
    <row r="455" customFormat="false" ht="15.75" hidden="true" customHeight="true" outlineLevel="0" collapsed="false">
      <c r="A455" s="63" t="n">
        <v>2022</v>
      </c>
      <c r="B455" s="79" t="s">
        <v>218</v>
      </c>
      <c r="C455" s="79"/>
      <c r="D455" s="63"/>
      <c r="E455" s="63"/>
      <c r="F455" s="63"/>
      <c r="G455" s="63"/>
    </row>
    <row r="456" customFormat="false" ht="15.75" hidden="true" customHeight="true" outlineLevel="0" collapsed="false">
      <c r="A456" s="63" t="n">
        <v>2022</v>
      </c>
      <c r="B456" s="79" t="s">
        <v>218</v>
      </c>
      <c r="C456" s="79"/>
      <c r="D456" s="63"/>
      <c r="E456" s="63"/>
      <c r="F456" s="63"/>
      <c r="G456" s="63"/>
    </row>
    <row r="457" customFormat="false" ht="15.75" hidden="true" customHeight="true" outlineLevel="0" collapsed="false">
      <c r="A457" s="63" t="n">
        <v>2022</v>
      </c>
      <c r="B457" s="79" t="s">
        <v>218</v>
      </c>
      <c r="C457" s="79"/>
      <c r="D457" s="63"/>
      <c r="E457" s="63"/>
      <c r="F457" s="63"/>
      <c r="G457" s="63"/>
    </row>
    <row r="458" customFormat="false" ht="15.75" hidden="true" customHeight="true" outlineLevel="0" collapsed="false">
      <c r="A458" s="63" t="n">
        <v>2022</v>
      </c>
      <c r="B458" s="79" t="s">
        <v>218</v>
      </c>
      <c r="C458" s="79"/>
      <c r="D458" s="63"/>
      <c r="E458" s="63"/>
      <c r="F458" s="63"/>
      <c r="G458" s="63"/>
    </row>
    <row r="459" customFormat="false" ht="15.75" hidden="true" customHeight="true" outlineLevel="0" collapsed="false">
      <c r="A459" s="63" t="n">
        <v>2022</v>
      </c>
      <c r="B459" s="79" t="s">
        <v>218</v>
      </c>
      <c r="C459" s="79"/>
      <c r="D459" s="63"/>
      <c r="E459" s="63"/>
      <c r="F459" s="63"/>
      <c r="G459" s="63"/>
    </row>
    <row r="460" customFormat="false" ht="15.75" hidden="true" customHeight="true" outlineLevel="0" collapsed="false">
      <c r="A460" s="63" t="n">
        <v>2022</v>
      </c>
      <c r="B460" s="79" t="s">
        <v>218</v>
      </c>
      <c r="C460" s="79"/>
      <c r="D460" s="63"/>
      <c r="E460" s="63"/>
      <c r="F460" s="63"/>
      <c r="G460" s="63"/>
    </row>
    <row r="461" customFormat="false" ht="15.75" hidden="true" customHeight="true" outlineLevel="0" collapsed="false">
      <c r="A461" s="63" t="n">
        <v>2022</v>
      </c>
      <c r="B461" s="79" t="s">
        <v>218</v>
      </c>
      <c r="C461" s="79"/>
      <c r="D461" s="63"/>
      <c r="E461" s="63"/>
      <c r="F461" s="63"/>
      <c r="G461" s="63"/>
    </row>
    <row r="462" customFormat="false" ht="15.75" hidden="true" customHeight="true" outlineLevel="0" collapsed="false">
      <c r="A462" s="63" t="n">
        <v>2022</v>
      </c>
      <c r="B462" s="79" t="s">
        <v>218</v>
      </c>
      <c r="C462" s="79"/>
      <c r="D462" s="63"/>
      <c r="E462" s="63"/>
      <c r="F462" s="63"/>
      <c r="G462" s="63"/>
    </row>
    <row r="463" customFormat="false" ht="15.75" hidden="true" customHeight="true" outlineLevel="0" collapsed="false">
      <c r="A463" s="63" t="n">
        <v>2022</v>
      </c>
      <c r="B463" s="79" t="s">
        <v>218</v>
      </c>
      <c r="C463" s="79"/>
      <c r="D463" s="63"/>
      <c r="E463" s="63"/>
      <c r="F463" s="63"/>
      <c r="G463" s="63"/>
    </row>
    <row r="464" customFormat="false" ht="15.75" hidden="true" customHeight="true" outlineLevel="0" collapsed="false">
      <c r="A464" s="63" t="n">
        <v>2022</v>
      </c>
      <c r="B464" s="79" t="s">
        <v>218</v>
      </c>
      <c r="C464" s="79"/>
      <c r="D464" s="63"/>
      <c r="E464" s="63"/>
      <c r="F464" s="63"/>
      <c r="G464" s="63"/>
    </row>
    <row r="465" customFormat="false" ht="15.75" hidden="true" customHeight="true" outlineLevel="0" collapsed="false">
      <c r="A465" s="63" t="n">
        <v>2022</v>
      </c>
      <c r="B465" s="79" t="s">
        <v>218</v>
      </c>
      <c r="C465" s="79"/>
      <c r="D465" s="63"/>
      <c r="E465" s="63"/>
      <c r="F465" s="63"/>
      <c r="G465" s="63"/>
    </row>
    <row r="466" customFormat="false" ht="15.75" hidden="true" customHeight="true" outlineLevel="0" collapsed="false">
      <c r="A466" s="99" t="s">
        <v>402</v>
      </c>
      <c r="B466" s="99"/>
      <c r="C466" s="99"/>
      <c r="D466" s="99"/>
      <c r="E466" s="99"/>
      <c r="F466" s="99"/>
      <c r="G466" s="99"/>
    </row>
    <row r="467" customFormat="false" ht="15.75" hidden="true" customHeight="true" outlineLevel="0" collapsed="false">
      <c r="A467" s="63" t="n">
        <v>2022</v>
      </c>
      <c r="B467" s="79" t="s">
        <v>244</v>
      </c>
      <c r="C467" s="79"/>
      <c r="D467" s="63"/>
      <c r="E467" s="63"/>
      <c r="F467" s="63"/>
      <c r="G467" s="63"/>
    </row>
    <row r="468" customFormat="false" ht="15.75" hidden="true" customHeight="true" outlineLevel="0" collapsed="false">
      <c r="A468" s="63" t="n">
        <v>2022</v>
      </c>
      <c r="B468" s="79" t="s">
        <v>244</v>
      </c>
      <c r="C468" s="79"/>
      <c r="D468" s="63"/>
      <c r="E468" s="63"/>
      <c r="F468" s="63"/>
      <c r="G468" s="63"/>
    </row>
    <row r="469" customFormat="false" ht="15.75" hidden="true" customHeight="true" outlineLevel="0" collapsed="false">
      <c r="A469" s="63" t="n">
        <v>2022</v>
      </c>
      <c r="B469" s="79" t="s">
        <v>244</v>
      </c>
      <c r="C469" s="79"/>
      <c r="D469" s="63"/>
      <c r="E469" s="63"/>
      <c r="F469" s="63"/>
      <c r="G469" s="63"/>
    </row>
    <row r="470" customFormat="false" ht="15.75" hidden="true" customHeight="true" outlineLevel="0" collapsed="false">
      <c r="A470" s="63" t="n">
        <v>2022</v>
      </c>
      <c r="B470" s="79" t="s">
        <v>244</v>
      </c>
      <c r="C470" s="79"/>
      <c r="D470" s="63"/>
      <c r="E470" s="63"/>
      <c r="F470" s="63"/>
      <c r="G470" s="63"/>
    </row>
    <row r="471" customFormat="false" ht="15.75" hidden="true" customHeight="true" outlineLevel="0" collapsed="false">
      <c r="A471" s="63" t="n">
        <v>2022</v>
      </c>
      <c r="B471" s="79" t="s">
        <v>244</v>
      </c>
      <c r="C471" s="79"/>
      <c r="D471" s="63"/>
      <c r="E471" s="63"/>
      <c r="F471" s="63"/>
      <c r="G471" s="63"/>
    </row>
    <row r="472" customFormat="false" ht="15.75" hidden="true" customHeight="true" outlineLevel="0" collapsed="false">
      <c r="A472" s="63" t="n">
        <v>2022</v>
      </c>
      <c r="B472" s="79" t="s">
        <v>244</v>
      </c>
      <c r="C472" s="79"/>
      <c r="D472" s="63"/>
      <c r="E472" s="63"/>
      <c r="F472" s="63"/>
      <c r="G472" s="63"/>
    </row>
    <row r="473" customFormat="false" ht="15.75" hidden="true" customHeight="true" outlineLevel="0" collapsed="false">
      <c r="A473" s="63" t="n">
        <v>2022</v>
      </c>
      <c r="B473" s="79" t="s">
        <v>244</v>
      </c>
      <c r="C473" s="79"/>
      <c r="D473" s="63"/>
      <c r="E473" s="63"/>
      <c r="F473" s="63"/>
      <c r="G473" s="63"/>
    </row>
    <row r="474" customFormat="false" ht="15.75" hidden="true" customHeight="true" outlineLevel="0" collapsed="false">
      <c r="A474" s="63" t="n">
        <v>2022</v>
      </c>
      <c r="B474" s="79" t="s">
        <v>244</v>
      </c>
      <c r="C474" s="79"/>
      <c r="D474" s="63"/>
      <c r="E474" s="63"/>
      <c r="F474" s="63"/>
      <c r="G474" s="63"/>
    </row>
    <row r="475" customFormat="false" ht="15.75" hidden="true" customHeight="true" outlineLevel="0" collapsed="false">
      <c r="A475" s="63" t="n">
        <v>2022</v>
      </c>
      <c r="B475" s="79" t="s">
        <v>244</v>
      </c>
      <c r="C475" s="79"/>
      <c r="D475" s="63"/>
      <c r="E475" s="63"/>
      <c r="F475" s="63"/>
      <c r="G475" s="63"/>
    </row>
    <row r="476" customFormat="false" ht="15.75" hidden="true" customHeight="true" outlineLevel="0" collapsed="false">
      <c r="A476" s="63" t="n">
        <v>2022</v>
      </c>
      <c r="B476" s="79" t="s">
        <v>244</v>
      </c>
      <c r="C476" s="79"/>
      <c r="D476" s="63"/>
      <c r="E476" s="63"/>
      <c r="F476" s="63"/>
      <c r="G476" s="63"/>
    </row>
    <row r="477" customFormat="false" ht="15.75" hidden="true" customHeight="true" outlineLevel="0" collapsed="false">
      <c r="A477" s="63" t="n">
        <v>2022</v>
      </c>
      <c r="B477" s="79" t="s">
        <v>244</v>
      </c>
      <c r="C477" s="79"/>
      <c r="D477" s="63"/>
      <c r="E477" s="63"/>
      <c r="F477" s="63"/>
      <c r="G477" s="63"/>
    </row>
    <row r="478" customFormat="false" ht="15.75" hidden="true" customHeight="true" outlineLevel="0" collapsed="false">
      <c r="A478" s="63" t="n">
        <v>2022</v>
      </c>
      <c r="B478" s="79" t="s">
        <v>244</v>
      </c>
      <c r="C478" s="79"/>
      <c r="D478" s="63"/>
      <c r="E478" s="63"/>
      <c r="F478" s="63"/>
      <c r="G478" s="63"/>
    </row>
    <row r="479" customFormat="false" ht="15.75" hidden="true" customHeight="true" outlineLevel="0" collapsed="false">
      <c r="A479" s="63" t="n">
        <v>2022</v>
      </c>
      <c r="B479" s="79" t="s">
        <v>244</v>
      </c>
      <c r="C479" s="79"/>
      <c r="D479" s="63"/>
      <c r="E479" s="63"/>
      <c r="F479" s="63"/>
      <c r="G479" s="63"/>
    </row>
    <row r="480" customFormat="false" ht="15.75" hidden="true" customHeight="true" outlineLevel="0" collapsed="false">
      <c r="A480" s="63" t="n">
        <v>2022</v>
      </c>
      <c r="B480" s="79" t="s">
        <v>244</v>
      </c>
      <c r="C480" s="79"/>
      <c r="D480" s="63"/>
      <c r="E480" s="63"/>
      <c r="F480" s="63"/>
      <c r="G480" s="63"/>
    </row>
    <row r="481" customFormat="false" ht="15.75" hidden="true" customHeight="true" outlineLevel="0" collapsed="false">
      <c r="A481" s="63" t="n">
        <v>2022</v>
      </c>
      <c r="B481" s="79" t="s">
        <v>244</v>
      </c>
      <c r="C481" s="79"/>
      <c r="D481" s="63"/>
      <c r="E481" s="63"/>
      <c r="F481" s="63"/>
      <c r="G481" s="63"/>
    </row>
    <row r="482" customFormat="false" ht="15.75" hidden="true" customHeight="true" outlineLevel="0" collapsed="false">
      <c r="A482" s="63" t="n">
        <v>2022</v>
      </c>
      <c r="B482" s="79" t="s">
        <v>244</v>
      </c>
      <c r="C482" s="79"/>
      <c r="D482" s="63"/>
      <c r="E482" s="63"/>
      <c r="F482" s="63"/>
      <c r="G482" s="63"/>
    </row>
    <row r="483" customFormat="false" ht="15.75" hidden="true" customHeight="true" outlineLevel="0" collapsed="false">
      <c r="A483" s="63" t="n">
        <v>2022</v>
      </c>
      <c r="B483" s="79" t="s">
        <v>244</v>
      </c>
      <c r="C483" s="79"/>
      <c r="D483" s="63"/>
      <c r="E483" s="63"/>
      <c r="F483" s="63"/>
      <c r="G483" s="63"/>
    </row>
    <row r="484" customFormat="false" ht="15.75" hidden="true" customHeight="true" outlineLevel="0" collapsed="false">
      <c r="A484" s="63" t="n">
        <v>2022</v>
      </c>
      <c r="B484" s="79" t="s">
        <v>244</v>
      </c>
      <c r="C484" s="79"/>
      <c r="D484" s="63"/>
      <c r="E484" s="63"/>
      <c r="F484" s="63"/>
      <c r="G484" s="63"/>
    </row>
    <row r="485" customFormat="false" ht="15.75" hidden="true" customHeight="true" outlineLevel="0" collapsed="false">
      <c r="A485" s="63" t="n">
        <v>2022</v>
      </c>
      <c r="B485" s="79" t="s">
        <v>244</v>
      </c>
      <c r="C485" s="79"/>
      <c r="D485" s="63"/>
      <c r="E485" s="63"/>
      <c r="F485" s="63"/>
      <c r="G485" s="63"/>
    </row>
    <row r="486" customFormat="false" ht="15.75" hidden="true" customHeight="true" outlineLevel="0" collapsed="false">
      <c r="A486" s="63" t="n">
        <v>2022</v>
      </c>
      <c r="B486" s="79" t="s">
        <v>244</v>
      </c>
      <c r="C486" s="79"/>
      <c r="D486" s="63"/>
      <c r="E486" s="63"/>
      <c r="F486" s="63"/>
      <c r="G486" s="63"/>
    </row>
    <row r="487" customFormat="false" ht="15.75" hidden="true" customHeight="true" outlineLevel="0" collapsed="false">
      <c r="A487" s="99" t="s">
        <v>403</v>
      </c>
      <c r="B487" s="99"/>
      <c r="C487" s="99"/>
      <c r="D487" s="99"/>
      <c r="E487" s="99"/>
      <c r="F487" s="99"/>
      <c r="G487" s="99"/>
    </row>
    <row r="488" customFormat="false" ht="15.75" hidden="true" customHeight="true" outlineLevel="0" collapsed="false">
      <c r="A488" s="63" t="n">
        <v>2022</v>
      </c>
      <c r="B488" s="79" t="s">
        <v>270</v>
      </c>
      <c r="C488" s="79"/>
      <c r="D488" s="63"/>
      <c r="E488" s="63"/>
      <c r="F488" s="63"/>
      <c r="G488" s="63"/>
    </row>
    <row r="489" customFormat="false" ht="15.75" hidden="true" customHeight="true" outlineLevel="0" collapsed="false">
      <c r="A489" s="63" t="n">
        <v>2022</v>
      </c>
      <c r="B489" s="79" t="s">
        <v>270</v>
      </c>
      <c r="C489" s="79"/>
      <c r="D489" s="63"/>
      <c r="E489" s="63"/>
      <c r="F489" s="63"/>
      <c r="G489" s="63"/>
    </row>
    <row r="490" customFormat="false" ht="15.75" hidden="true" customHeight="true" outlineLevel="0" collapsed="false">
      <c r="A490" s="63" t="n">
        <v>2022</v>
      </c>
      <c r="B490" s="79" t="s">
        <v>270</v>
      </c>
      <c r="C490" s="79"/>
      <c r="D490" s="63"/>
      <c r="E490" s="63"/>
      <c r="F490" s="63"/>
      <c r="G490" s="63"/>
    </row>
    <row r="491" customFormat="false" ht="15.75" hidden="true" customHeight="true" outlineLevel="0" collapsed="false">
      <c r="A491" s="63" t="n">
        <v>2022</v>
      </c>
      <c r="B491" s="79" t="s">
        <v>270</v>
      </c>
      <c r="C491" s="79"/>
      <c r="D491" s="63"/>
      <c r="E491" s="63"/>
      <c r="F491" s="63"/>
      <c r="G491" s="63"/>
    </row>
    <row r="492" customFormat="false" ht="15.75" hidden="true" customHeight="true" outlineLevel="0" collapsed="false">
      <c r="A492" s="63" t="n">
        <v>2022</v>
      </c>
      <c r="B492" s="79" t="s">
        <v>270</v>
      </c>
      <c r="C492" s="79"/>
      <c r="D492" s="63"/>
      <c r="E492" s="63"/>
      <c r="F492" s="63"/>
      <c r="G492" s="63"/>
    </row>
    <row r="493" customFormat="false" ht="15.75" hidden="true" customHeight="true" outlineLevel="0" collapsed="false">
      <c r="A493" s="63" t="n">
        <v>2022</v>
      </c>
      <c r="B493" s="79" t="s">
        <v>270</v>
      </c>
      <c r="C493" s="79"/>
      <c r="D493" s="63"/>
      <c r="E493" s="63"/>
      <c r="F493" s="63"/>
      <c r="G493" s="63"/>
    </row>
    <row r="494" customFormat="false" ht="15.75" hidden="true" customHeight="true" outlineLevel="0" collapsed="false">
      <c r="A494" s="63" t="n">
        <v>2022</v>
      </c>
      <c r="B494" s="79" t="s">
        <v>270</v>
      </c>
      <c r="C494" s="79"/>
      <c r="D494" s="63"/>
      <c r="E494" s="63"/>
      <c r="F494" s="63"/>
      <c r="G494" s="63"/>
    </row>
    <row r="495" customFormat="false" ht="15.75" hidden="true" customHeight="true" outlineLevel="0" collapsed="false">
      <c r="A495" s="63" t="n">
        <v>2022</v>
      </c>
      <c r="B495" s="79" t="s">
        <v>270</v>
      </c>
      <c r="C495" s="79"/>
      <c r="D495" s="63"/>
      <c r="E495" s="63"/>
      <c r="F495" s="63"/>
      <c r="G495" s="63"/>
    </row>
    <row r="496" customFormat="false" ht="15.75" hidden="true" customHeight="true" outlineLevel="0" collapsed="false">
      <c r="A496" s="63" t="n">
        <v>2022</v>
      </c>
      <c r="B496" s="79" t="s">
        <v>270</v>
      </c>
      <c r="C496" s="79"/>
      <c r="D496" s="63"/>
      <c r="E496" s="63"/>
      <c r="F496" s="63"/>
      <c r="G496" s="63"/>
    </row>
    <row r="497" customFormat="false" ht="15.75" hidden="true" customHeight="true" outlineLevel="0" collapsed="false">
      <c r="A497" s="63" t="n">
        <v>2022</v>
      </c>
      <c r="B497" s="79" t="s">
        <v>270</v>
      </c>
      <c r="C497" s="79"/>
      <c r="D497" s="63"/>
      <c r="E497" s="63"/>
      <c r="F497" s="63"/>
      <c r="G497" s="63"/>
    </row>
    <row r="498" customFormat="false" ht="15.75" hidden="true" customHeight="true" outlineLevel="0" collapsed="false">
      <c r="A498" s="63" t="n">
        <v>2022</v>
      </c>
      <c r="B498" s="79" t="s">
        <v>270</v>
      </c>
      <c r="C498" s="79"/>
      <c r="D498" s="63"/>
      <c r="E498" s="63"/>
      <c r="F498" s="63"/>
      <c r="G498" s="63"/>
    </row>
    <row r="499" customFormat="false" ht="15.75" hidden="true" customHeight="true" outlineLevel="0" collapsed="false">
      <c r="A499" s="63" t="n">
        <v>2022</v>
      </c>
      <c r="B499" s="79" t="s">
        <v>270</v>
      </c>
      <c r="C499" s="79"/>
      <c r="D499" s="63"/>
      <c r="E499" s="63"/>
      <c r="F499" s="63"/>
      <c r="G499" s="63"/>
    </row>
    <row r="500" customFormat="false" ht="15.75" hidden="true" customHeight="true" outlineLevel="0" collapsed="false">
      <c r="A500" s="63" t="n">
        <v>2022</v>
      </c>
      <c r="B500" s="79" t="s">
        <v>270</v>
      </c>
      <c r="C500" s="79"/>
      <c r="D500" s="63"/>
      <c r="E500" s="63"/>
      <c r="F500" s="63"/>
      <c r="G500" s="63"/>
    </row>
    <row r="501" customFormat="false" ht="15.75" hidden="true" customHeight="true" outlineLevel="0" collapsed="false">
      <c r="A501" s="63" t="n">
        <v>2022</v>
      </c>
      <c r="B501" s="79" t="s">
        <v>270</v>
      </c>
      <c r="C501" s="79"/>
      <c r="D501" s="63"/>
      <c r="E501" s="63"/>
      <c r="F501" s="63"/>
      <c r="G501" s="63"/>
    </row>
    <row r="502" customFormat="false" ht="15.75" hidden="true" customHeight="true" outlineLevel="0" collapsed="false">
      <c r="A502" s="63" t="n">
        <v>2022</v>
      </c>
      <c r="B502" s="79" t="s">
        <v>270</v>
      </c>
      <c r="C502" s="79"/>
      <c r="D502" s="63"/>
      <c r="E502" s="63"/>
      <c r="F502" s="63"/>
      <c r="G502" s="63"/>
    </row>
    <row r="503" customFormat="false" ht="15.75" hidden="true" customHeight="true" outlineLevel="0" collapsed="false">
      <c r="A503" s="63" t="n">
        <v>2022</v>
      </c>
      <c r="B503" s="79" t="s">
        <v>270</v>
      </c>
      <c r="C503" s="79"/>
      <c r="D503" s="63"/>
      <c r="E503" s="63"/>
      <c r="F503" s="63"/>
      <c r="G503" s="63"/>
    </row>
    <row r="504" customFormat="false" ht="15.75" hidden="true" customHeight="true" outlineLevel="0" collapsed="false">
      <c r="A504" s="63" t="n">
        <v>2022</v>
      </c>
      <c r="B504" s="79" t="s">
        <v>270</v>
      </c>
      <c r="C504" s="79"/>
      <c r="D504" s="63"/>
      <c r="E504" s="63"/>
      <c r="F504" s="63"/>
      <c r="G504" s="63"/>
    </row>
    <row r="505" customFormat="false" ht="15.75" hidden="true" customHeight="true" outlineLevel="0" collapsed="false">
      <c r="A505" s="63" t="n">
        <v>2022</v>
      </c>
      <c r="B505" s="79" t="s">
        <v>270</v>
      </c>
      <c r="C505" s="79"/>
      <c r="D505" s="63"/>
      <c r="E505" s="63"/>
      <c r="F505" s="63"/>
      <c r="G505" s="63"/>
    </row>
    <row r="506" customFormat="false" ht="15.75" hidden="true" customHeight="true" outlineLevel="0" collapsed="false">
      <c r="A506" s="63" t="n">
        <v>2022</v>
      </c>
      <c r="B506" s="79" t="s">
        <v>270</v>
      </c>
      <c r="C506" s="79"/>
      <c r="D506" s="63"/>
      <c r="E506" s="63"/>
      <c r="F506" s="63"/>
      <c r="G506" s="63"/>
    </row>
    <row r="507" customFormat="false" ht="15.75" hidden="true" customHeight="true" outlineLevel="0" collapsed="false">
      <c r="A507" s="63" t="n">
        <v>2022</v>
      </c>
      <c r="B507" s="79" t="s">
        <v>270</v>
      </c>
      <c r="C507" s="79"/>
      <c r="D507" s="63"/>
      <c r="E507" s="63"/>
      <c r="F507" s="63"/>
      <c r="G507" s="63"/>
    </row>
    <row r="508" customFormat="false" ht="15.75" hidden="true" customHeight="true" outlineLevel="0" collapsed="false">
      <c r="A508" s="99" t="s">
        <v>404</v>
      </c>
      <c r="B508" s="99"/>
      <c r="C508" s="99"/>
      <c r="D508" s="99"/>
      <c r="E508" s="99"/>
      <c r="F508" s="99"/>
      <c r="G508" s="99"/>
    </row>
    <row r="509" customFormat="false" ht="15.75" hidden="true" customHeight="true" outlineLevel="0" collapsed="false">
      <c r="A509" s="63" t="n">
        <v>2023</v>
      </c>
      <c r="B509" s="79" t="s">
        <v>330</v>
      </c>
      <c r="C509" s="79"/>
      <c r="D509" s="63"/>
      <c r="E509" s="63"/>
      <c r="F509" s="63"/>
      <c r="G509" s="63"/>
    </row>
    <row r="510" customFormat="false" ht="15.75" hidden="true" customHeight="true" outlineLevel="0" collapsed="false">
      <c r="A510" s="63" t="n">
        <v>2023</v>
      </c>
      <c r="B510" s="79" t="s">
        <v>330</v>
      </c>
      <c r="C510" s="79"/>
      <c r="D510" s="63"/>
      <c r="E510" s="63"/>
      <c r="F510" s="63"/>
      <c r="G510" s="63"/>
    </row>
    <row r="511" customFormat="false" ht="15.75" hidden="true" customHeight="true" outlineLevel="0" collapsed="false">
      <c r="A511" s="63" t="n">
        <v>2023</v>
      </c>
      <c r="B511" s="79" t="s">
        <v>330</v>
      </c>
      <c r="C511" s="79"/>
      <c r="D511" s="63"/>
      <c r="E511" s="63"/>
      <c r="F511" s="63"/>
      <c r="G511" s="63"/>
    </row>
    <row r="512" customFormat="false" ht="15.75" hidden="true" customHeight="true" outlineLevel="0" collapsed="false">
      <c r="A512" s="63" t="n">
        <v>2023</v>
      </c>
      <c r="B512" s="79" t="s">
        <v>330</v>
      </c>
      <c r="C512" s="79"/>
      <c r="D512" s="63"/>
      <c r="E512" s="63"/>
      <c r="F512" s="63"/>
      <c r="G512" s="63"/>
    </row>
    <row r="513" customFormat="false" ht="15.75" hidden="true" customHeight="true" outlineLevel="0" collapsed="false">
      <c r="A513" s="63" t="n">
        <v>2023</v>
      </c>
      <c r="B513" s="79" t="s">
        <v>330</v>
      </c>
      <c r="C513" s="79"/>
      <c r="D513" s="63"/>
      <c r="E513" s="63"/>
      <c r="F513" s="63"/>
      <c r="G513" s="63"/>
    </row>
    <row r="514" customFormat="false" ht="15.75" hidden="true" customHeight="true" outlineLevel="0" collapsed="false">
      <c r="A514" s="63" t="n">
        <v>2023</v>
      </c>
      <c r="B514" s="79" t="s">
        <v>330</v>
      </c>
      <c r="C514" s="79"/>
      <c r="D514" s="63"/>
      <c r="E514" s="63"/>
      <c r="F514" s="63"/>
      <c r="G514" s="63"/>
    </row>
    <row r="515" customFormat="false" ht="15.75" hidden="true" customHeight="true" outlineLevel="0" collapsed="false">
      <c r="A515" s="63" t="n">
        <v>2023</v>
      </c>
      <c r="B515" s="79" t="s">
        <v>330</v>
      </c>
      <c r="C515" s="79"/>
      <c r="D515" s="63"/>
      <c r="E515" s="63"/>
      <c r="F515" s="63"/>
      <c r="G515" s="63"/>
    </row>
    <row r="516" customFormat="false" ht="15.75" hidden="true" customHeight="true" outlineLevel="0" collapsed="false">
      <c r="A516" s="63" t="n">
        <v>2023</v>
      </c>
      <c r="B516" s="79" t="s">
        <v>330</v>
      </c>
      <c r="C516" s="79"/>
      <c r="D516" s="63"/>
      <c r="E516" s="63"/>
      <c r="F516" s="63"/>
      <c r="G516" s="63"/>
    </row>
    <row r="517" customFormat="false" ht="15.75" hidden="true" customHeight="true" outlineLevel="0" collapsed="false">
      <c r="A517" s="63" t="n">
        <v>2023</v>
      </c>
      <c r="B517" s="79" t="s">
        <v>330</v>
      </c>
      <c r="C517" s="79"/>
      <c r="D517" s="63"/>
      <c r="E517" s="63"/>
      <c r="F517" s="63"/>
      <c r="G517" s="63"/>
    </row>
    <row r="518" customFormat="false" ht="15.75" hidden="true" customHeight="true" outlineLevel="0" collapsed="false">
      <c r="A518" s="63" t="n">
        <v>2023</v>
      </c>
      <c r="B518" s="79" t="s">
        <v>330</v>
      </c>
      <c r="C518" s="79"/>
      <c r="D518" s="63"/>
      <c r="E518" s="63"/>
      <c r="F518" s="63"/>
      <c r="G518" s="63"/>
    </row>
    <row r="519" customFormat="false" ht="15.75" hidden="true" customHeight="true" outlineLevel="0" collapsed="false">
      <c r="A519" s="63" t="n">
        <v>2023</v>
      </c>
      <c r="B519" s="79" t="s">
        <v>330</v>
      </c>
      <c r="C519" s="79"/>
      <c r="D519" s="63"/>
      <c r="E519" s="63"/>
      <c r="F519" s="63"/>
      <c r="G519" s="63"/>
    </row>
    <row r="520" customFormat="false" ht="15.75" hidden="true" customHeight="true" outlineLevel="0" collapsed="false">
      <c r="A520" s="63" t="n">
        <v>2023</v>
      </c>
      <c r="B520" s="79" t="s">
        <v>330</v>
      </c>
      <c r="C520" s="79"/>
      <c r="D520" s="63"/>
      <c r="E520" s="63"/>
      <c r="F520" s="63"/>
      <c r="G520" s="63"/>
    </row>
    <row r="521" customFormat="false" ht="15.75" hidden="true" customHeight="true" outlineLevel="0" collapsed="false">
      <c r="A521" s="63" t="n">
        <v>2023</v>
      </c>
      <c r="B521" s="79" t="s">
        <v>330</v>
      </c>
      <c r="C521" s="79"/>
      <c r="D521" s="63"/>
      <c r="E521" s="63"/>
      <c r="F521" s="63"/>
      <c r="G521" s="63"/>
    </row>
    <row r="522" customFormat="false" ht="15.75" hidden="true" customHeight="true" outlineLevel="0" collapsed="false">
      <c r="A522" s="63" t="n">
        <v>2023</v>
      </c>
      <c r="B522" s="79" t="s">
        <v>330</v>
      </c>
      <c r="C522" s="79"/>
      <c r="D522" s="63"/>
      <c r="E522" s="63"/>
      <c r="F522" s="63"/>
      <c r="G522" s="63"/>
    </row>
    <row r="523" customFormat="false" ht="15.75" hidden="true" customHeight="true" outlineLevel="0" collapsed="false">
      <c r="A523" s="63" t="n">
        <v>2023</v>
      </c>
      <c r="B523" s="79" t="s">
        <v>330</v>
      </c>
      <c r="C523" s="79"/>
      <c r="D523" s="63"/>
      <c r="E523" s="63"/>
      <c r="F523" s="63"/>
      <c r="G523" s="63"/>
    </row>
    <row r="524" customFormat="false" ht="15.75" hidden="true" customHeight="true" outlineLevel="0" collapsed="false">
      <c r="A524" s="63" t="n">
        <v>2023</v>
      </c>
      <c r="B524" s="79" t="s">
        <v>330</v>
      </c>
      <c r="C524" s="79"/>
      <c r="D524" s="63"/>
      <c r="E524" s="63"/>
      <c r="F524" s="63"/>
      <c r="G524" s="63"/>
    </row>
    <row r="525" customFormat="false" ht="15.75" hidden="true" customHeight="true" outlineLevel="0" collapsed="false">
      <c r="A525" s="63" t="n">
        <v>2023</v>
      </c>
      <c r="B525" s="79" t="s">
        <v>330</v>
      </c>
      <c r="C525" s="79"/>
      <c r="D525" s="63"/>
      <c r="E525" s="63"/>
      <c r="F525" s="63"/>
      <c r="G525" s="63"/>
    </row>
    <row r="526" customFormat="false" ht="15.75" hidden="true" customHeight="true" outlineLevel="0" collapsed="false">
      <c r="A526" s="63" t="n">
        <v>2023</v>
      </c>
      <c r="B526" s="79" t="s">
        <v>330</v>
      </c>
      <c r="C526" s="79"/>
      <c r="D526" s="63"/>
      <c r="E526" s="63"/>
      <c r="F526" s="63"/>
      <c r="G526" s="63"/>
    </row>
    <row r="527" customFormat="false" ht="15.75" hidden="true" customHeight="true" outlineLevel="0" collapsed="false">
      <c r="A527" s="63" t="n">
        <v>2023</v>
      </c>
      <c r="B527" s="79" t="s">
        <v>330</v>
      </c>
      <c r="C527" s="79"/>
      <c r="D527" s="63"/>
      <c r="E527" s="63"/>
      <c r="F527" s="63"/>
      <c r="G527" s="63"/>
    </row>
    <row r="528" customFormat="false" ht="15.75" hidden="true" customHeight="true" outlineLevel="0" collapsed="false">
      <c r="A528" s="63" t="n">
        <v>2023</v>
      </c>
      <c r="B528" s="79" t="s">
        <v>330</v>
      </c>
      <c r="C528" s="79"/>
      <c r="D528" s="63"/>
      <c r="E528" s="63"/>
      <c r="F528" s="63"/>
      <c r="G528" s="63"/>
    </row>
    <row r="529" customFormat="false" ht="15.75" hidden="true" customHeight="true" outlineLevel="0" collapsed="false">
      <c r="A529" s="99" t="s">
        <v>405</v>
      </c>
      <c r="B529" s="99"/>
      <c r="C529" s="99"/>
      <c r="D529" s="99"/>
      <c r="E529" s="99"/>
      <c r="F529" s="99"/>
      <c r="G529" s="99"/>
    </row>
    <row r="530" customFormat="false" ht="15.75" hidden="true" customHeight="true" outlineLevel="0" collapsed="false">
      <c r="A530" s="63" t="n">
        <v>2023</v>
      </c>
      <c r="B530" s="79" t="s">
        <v>331</v>
      </c>
      <c r="C530" s="79"/>
      <c r="D530" s="63"/>
      <c r="E530" s="63"/>
      <c r="F530" s="63"/>
      <c r="G530" s="63"/>
    </row>
    <row r="531" customFormat="false" ht="15.75" hidden="true" customHeight="true" outlineLevel="0" collapsed="false">
      <c r="A531" s="63" t="n">
        <v>2023</v>
      </c>
      <c r="B531" s="79" t="s">
        <v>331</v>
      </c>
      <c r="C531" s="79"/>
      <c r="D531" s="63"/>
      <c r="E531" s="63"/>
      <c r="F531" s="63"/>
      <c r="G531" s="63"/>
    </row>
    <row r="532" customFormat="false" ht="15.75" hidden="true" customHeight="true" outlineLevel="0" collapsed="false">
      <c r="A532" s="63" t="n">
        <v>2023</v>
      </c>
      <c r="B532" s="79" t="s">
        <v>331</v>
      </c>
      <c r="C532" s="79"/>
      <c r="D532" s="63"/>
      <c r="E532" s="63"/>
      <c r="F532" s="63"/>
      <c r="G532" s="63"/>
    </row>
    <row r="533" customFormat="false" ht="15.75" hidden="true" customHeight="true" outlineLevel="0" collapsed="false">
      <c r="A533" s="63" t="n">
        <v>2023</v>
      </c>
      <c r="B533" s="79" t="s">
        <v>331</v>
      </c>
      <c r="C533" s="79"/>
      <c r="D533" s="63"/>
      <c r="E533" s="63"/>
      <c r="F533" s="63"/>
      <c r="G533" s="63"/>
    </row>
    <row r="534" customFormat="false" ht="15.75" hidden="true" customHeight="true" outlineLevel="0" collapsed="false">
      <c r="A534" s="63" t="n">
        <v>2023</v>
      </c>
      <c r="B534" s="79" t="s">
        <v>331</v>
      </c>
      <c r="C534" s="79"/>
      <c r="D534" s="63"/>
      <c r="E534" s="63"/>
      <c r="F534" s="63"/>
      <c r="G534" s="63"/>
    </row>
    <row r="535" customFormat="false" ht="15.75" hidden="true" customHeight="true" outlineLevel="0" collapsed="false">
      <c r="A535" s="63" t="n">
        <v>2023</v>
      </c>
      <c r="B535" s="79" t="s">
        <v>331</v>
      </c>
      <c r="C535" s="79"/>
      <c r="D535" s="63"/>
      <c r="E535" s="63"/>
      <c r="F535" s="63"/>
      <c r="G535" s="63"/>
    </row>
    <row r="536" customFormat="false" ht="15.75" hidden="true" customHeight="true" outlineLevel="0" collapsed="false">
      <c r="A536" s="63" t="n">
        <v>2023</v>
      </c>
      <c r="B536" s="79" t="s">
        <v>331</v>
      </c>
      <c r="C536" s="79"/>
      <c r="D536" s="63"/>
      <c r="E536" s="63"/>
      <c r="F536" s="63"/>
      <c r="G536" s="63"/>
    </row>
    <row r="537" customFormat="false" ht="15.75" hidden="true" customHeight="true" outlineLevel="0" collapsed="false">
      <c r="A537" s="63" t="n">
        <v>2023</v>
      </c>
      <c r="B537" s="79" t="s">
        <v>331</v>
      </c>
      <c r="C537" s="79"/>
      <c r="D537" s="63"/>
      <c r="E537" s="63"/>
      <c r="F537" s="63"/>
      <c r="G537" s="63"/>
    </row>
    <row r="538" customFormat="false" ht="15.75" hidden="true" customHeight="true" outlineLevel="0" collapsed="false">
      <c r="A538" s="63" t="n">
        <v>2023</v>
      </c>
      <c r="B538" s="79" t="s">
        <v>331</v>
      </c>
      <c r="C538" s="79"/>
      <c r="D538" s="63"/>
      <c r="E538" s="63"/>
      <c r="F538" s="63"/>
      <c r="G538" s="63"/>
    </row>
    <row r="539" customFormat="false" ht="15.75" hidden="true" customHeight="true" outlineLevel="0" collapsed="false">
      <c r="A539" s="63" t="n">
        <v>2023</v>
      </c>
      <c r="B539" s="79" t="s">
        <v>331</v>
      </c>
      <c r="C539" s="79"/>
      <c r="D539" s="63"/>
      <c r="E539" s="63"/>
      <c r="F539" s="63"/>
      <c r="G539" s="63"/>
    </row>
    <row r="540" customFormat="false" ht="15.75" hidden="true" customHeight="true" outlineLevel="0" collapsed="false">
      <c r="A540" s="63" t="n">
        <v>2023</v>
      </c>
      <c r="B540" s="79" t="s">
        <v>331</v>
      </c>
      <c r="C540" s="79"/>
      <c r="D540" s="63"/>
      <c r="E540" s="63"/>
      <c r="F540" s="63"/>
      <c r="G540" s="63"/>
    </row>
    <row r="541" customFormat="false" ht="15.75" hidden="true" customHeight="true" outlineLevel="0" collapsed="false">
      <c r="A541" s="63" t="n">
        <v>2023</v>
      </c>
      <c r="B541" s="79" t="s">
        <v>331</v>
      </c>
      <c r="C541" s="79"/>
      <c r="D541" s="63"/>
      <c r="E541" s="63"/>
      <c r="F541" s="63"/>
      <c r="G541" s="63"/>
    </row>
    <row r="542" customFormat="false" ht="15.75" hidden="true" customHeight="true" outlineLevel="0" collapsed="false">
      <c r="A542" s="63" t="n">
        <v>2023</v>
      </c>
      <c r="B542" s="79" t="s">
        <v>331</v>
      </c>
      <c r="C542" s="79"/>
      <c r="D542" s="63"/>
      <c r="E542" s="63"/>
      <c r="F542" s="63"/>
      <c r="G542" s="63"/>
    </row>
    <row r="543" customFormat="false" ht="15.75" hidden="true" customHeight="true" outlineLevel="0" collapsed="false">
      <c r="A543" s="63" t="n">
        <v>2023</v>
      </c>
      <c r="B543" s="79" t="s">
        <v>331</v>
      </c>
      <c r="C543" s="79"/>
      <c r="D543" s="63"/>
      <c r="E543" s="63"/>
      <c r="F543" s="63"/>
      <c r="G543" s="63"/>
    </row>
    <row r="544" customFormat="false" ht="15.75" hidden="true" customHeight="true" outlineLevel="0" collapsed="false">
      <c r="A544" s="63" t="n">
        <v>2023</v>
      </c>
      <c r="B544" s="79" t="s">
        <v>331</v>
      </c>
      <c r="C544" s="79"/>
      <c r="D544" s="63"/>
      <c r="E544" s="63"/>
      <c r="F544" s="63"/>
      <c r="G544" s="63"/>
    </row>
    <row r="545" customFormat="false" ht="15.75" hidden="true" customHeight="true" outlineLevel="0" collapsed="false">
      <c r="A545" s="63" t="n">
        <v>2023</v>
      </c>
      <c r="B545" s="79" t="s">
        <v>331</v>
      </c>
      <c r="C545" s="79"/>
      <c r="D545" s="63"/>
      <c r="E545" s="63"/>
      <c r="F545" s="63"/>
      <c r="G545" s="63"/>
    </row>
    <row r="546" customFormat="false" ht="15.75" hidden="true" customHeight="true" outlineLevel="0" collapsed="false">
      <c r="A546" s="63" t="n">
        <v>2023</v>
      </c>
      <c r="B546" s="79" t="s">
        <v>331</v>
      </c>
      <c r="C546" s="79"/>
      <c r="D546" s="63"/>
      <c r="E546" s="63"/>
      <c r="F546" s="63"/>
      <c r="G546" s="63"/>
    </row>
    <row r="547" customFormat="false" ht="15.75" hidden="true" customHeight="true" outlineLevel="0" collapsed="false">
      <c r="A547" s="63" t="n">
        <v>2023</v>
      </c>
      <c r="B547" s="79" t="s">
        <v>331</v>
      </c>
      <c r="C547" s="79"/>
      <c r="D547" s="63"/>
      <c r="E547" s="63"/>
      <c r="F547" s="63"/>
      <c r="G547" s="63"/>
    </row>
    <row r="548" customFormat="false" ht="15.75" hidden="true" customHeight="true" outlineLevel="0" collapsed="false">
      <c r="A548" s="63" t="n">
        <v>2023</v>
      </c>
      <c r="B548" s="79" t="s">
        <v>331</v>
      </c>
      <c r="C548" s="79"/>
      <c r="D548" s="63"/>
      <c r="E548" s="63"/>
      <c r="F548" s="63"/>
      <c r="G548" s="63"/>
    </row>
    <row r="549" customFormat="false" ht="15.75" hidden="true" customHeight="true" outlineLevel="0" collapsed="false">
      <c r="A549" s="63" t="n">
        <v>2023</v>
      </c>
      <c r="B549" s="79" t="s">
        <v>331</v>
      </c>
      <c r="C549" s="79"/>
      <c r="D549" s="63"/>
      <c r="E549" s="63"/>
      <c r="F549" s="63"/>
      <c r="G549" s="63"/>
    </row>
    <row r="550" customFormat="false" ht="15.75" hidden="true" customHeight="true" outlineLevel="0" collapsed="false">
      <c r="A550" s="99" t="s">
        <v>406</v>
      </c>
      <c r="B550" s="99"/>
      <c r="C550" s="99"/>
      <c r="D550" s="99"/>
      <c r="E550" s="99"/>
      <c r="F550" s="99"/>
      <c r="G550" s="99"/>
    </row>
    <row r="551" customFormat="false" ht="15.75" hidden="true" customHeight="true" outlineLevel="0" collapsed="false">
      <c r="A551" s="63" t="n">
        <v>2023</v>
      </c>
      <c r="B551" s="79" t="s">
        <v>332</v>
      </c>
      <c r="C551" s="79"/>
      <c r="D551" s="63"/>
      <c r="E551" s="63"/>
      <c r="F551" s="63"/>
      <c r="G551" s="63"/>
    </row>
    <row r="552" customFormat="false" ht="15.75" hidden="true" customHeight="true" outlineLevel="0" collapsed="false">
      <c r="A552" s="63" t="n">
        <v>2023</v>
      </c>
      <c r="B552" s="79" t="s">
        <v>332</v>
      </c>
      <c r="C552" s="79"/>
      <c r="D552" s="63"/>
      <c r="E552" s="63"/>
      <c r="F552" s="63"/>
      <c r="G552" s="63"/>
    </row>
    <row r="553" customFormat="false" ht="15.75" hidden="true" customHeight="true" outlineLevel="0" collapsed="false">
      <c r="A553" s="63" t="n">
        <v>2023</v>
      </c>
      <c r="B553" s="79" t="s">
        <v>332</v>
      </c>
      <c r="C553" s="79"/>
      <c r="D553" s="63"/>
      <c r="E553" s="63"/>
      <c r="F553" s="63"/>
      <c r="G553" s="63"/>
    </row>
    <row r="554" customFormat="false" ht="15.75" hidden="true" customHeight="true" outlineLevel="0" collapsed="false">
      <c r="A554" s="63" t="n">
        <v>2023</v>
      </c>
      <c r="B554" s="79" t="s">
        <v>332</v>
      </c>
      <c r="C554" s="79"/>
      <c r="D554" s="63"/>
      <c r="E554" s="63"/>
      <c r="F554" s="63"/>
      <c r="G554" s="63"/>
    </row>
    <row r="555" customFormat="false" ht="15.75" hidden="true" customHeight="true" outlineLevel="0" collapsed="false">
      <c r="A555" s="63" t="n">
        <v>2023</v>
      </c>
      <c r="B555" s="79" t="s">
        <v>332</v>
      </c>
      <c r="C555" s="79"/>
      <c r="D555" s="63"/>
      <c r="E555" s="63"/>
      <c r="F555" s="63"/>
      <c r="G555" s="63"/>
    </row>
    <row r="556" customFormat="false" ht="15.75" hidden="true" customHeight="true" outlineLevel="0" collapsed="false">
      <c r="A556" s="63" t="n">
        <v>2023</v>
      </c>
      <c r="B556" s="79" t="s">
        <v>332</v>
      </c>
      <c r="C556" s="79"/>
      <c r="D556" s="63"/>
      <c r="E556" s="63"/>
      <c r="F556" s="63"/>
      <c r="G556" s="63"/>
    </row>
    <row r="557" customFormat="false" ht="15.75" hidden="true" customHeight="true" outlineLevel="0" collapsed="false">
      <c r="A557" s="63" t="n">
        <v>2023</v>
      </c>
      <c r="B557" s="79" t="s">
        <v>332</v>
      </c>
      <c r="C557" s="79"/>
      <c r="D557" s="63"/>
      <c r="E557" s="63"/>
      <c r="F557" s="63"/>
      <c r="G557" s="63"/>
    </row>
    <row r="558" customFormat="false" ht="15.75" hidden="true" customHeight="true" outlineLevel="0" collapsed="false">
      <c r="A558" s="63" t="n">
        <v>2023</v>
      </c>
      <c r="B558" s="79" t="s">
        <v>332</v>
      </c>
      <c r="C558" s="79"/>
      <c r="D558" s="63"/>
      <c r="E558" s="63"/>
      <c r="F558" s="63"/>
      <c r="G558" s="63"/>
    </row>
    <row r="559" customFormat="false" ht="15.75" hidden="true" customHeight="true" outlineLevel="0" collapsed="false">
      <c r="A559" s="63" t="n">
        <v>2023</v>
      </c>
      <c r="B559" s="79" t="s">
        <v>332</v>
      </c>
      <c r="C559" s="79"/>
      <c r="D559" s="63"/>
      <c r="E559" s="63"/>
      <c r="F559" s="63"/>
      <c r="G559" s="63"/>
    </row>
    <row r="560" customFormat="false" ht="15.75" hidden="true" customHeight="true" outlineLevel="0" collapsed="false">
      <c r="A560" s="63" t="n">
        <v>2023</v>
      </c>
      <c r="B560" s="79" t="s">
        <v>332</v>
      </c>
      <c r="C560" s="79"/>
      <c r="D560" s="63"/>
      <c r="E560" s="63"/>
      <c r="F560" s="63"/>
      <c r="G560" s="63"/>
    </row>
    <row r="561" customFormat="false" ht="15.75" hidden="true" customHeight="true" outlineLevel="0" collapsed="false">
      <c r="A561" s="63" t="n">
        <v>2023</v>
      </c>
      <c r="B561" s="79" t="s">
        <v>332</v>
      </c>
      <c r="C561" s="79"/>
      <c r="D561" s="63"/>
      <c r="E561" s="63"/>
      <c r="F561" s="63"/>
      <c r="G561" s="63"/>
    </row>
    <row r="562" customFormat="false" ht="15.75" hidden="true" customHeight="true" outlineLevel="0" collapsed="false">
      <c r="A562" s="63" t="n">
        <v>2023</v>
      </c>
      <c r="B562" s="79" t="s">
        <v>332</v>
      </c>
      <c r="C562" s="79"/>
      <c r="D562" s="63"/>
      <c r="E562" s="63"/>
      <c r="F562" s="63"/>
      <c r="G562" s="63"/>
    </row>
    <row r="563" customFormat="false" ht="15.75" hidden="true" customHeight="true" outlineLevel="0" collapsed="false">
      <c r="A563" s="63" t="n">
        <v>2023</v>
      </c>
      <c r="B563" s="79" t="s">
        <v>332</v>
      </c>
      <c r="C563" s="79"/>
      <c r="D563" s="63"/>
      <c r="E563" s="63"/>
      <c r="F563" s="63"/>
      <c r="G563" s="63"/>
    </row>
    <row r="564" customFormat="false" ht="15.75" hidden="true" customHeight="true" outlineLevel="0" collapsed="false">
      <c r="A564" s="63" t="n">
        <v>2023</v>
      </c>
      <c r="B564" s="79" t="s">
        <v>332</v>
      </c>
      <c r="C564" s="79"/>
      <c r="D564" s="63"/>
      <c r="E564" s="63"/>
      <c r="F564" s="63"/>
      <c r="G564" s="63"/>
    </row>
    <row r="565" customFormat="false" ht="15.75" hidden="true" customHeight="true" outlineLevel="0" collapsed="false">
      <c r="A565" s="63" t="n">
        <v>2023</v>
      </c>
      <c r="B565" s="79" t="s">
        <v>332</v>
      </c>
      <c r="C565" s="79"/>
      <c r="D565" s="63"/>
      <c r="E565" s="63"/>
      <c r="F565" s="63"/>
      <c r="G565" s="63"/>
    </row>
    <row r="566" customFormat="false" ht="15.75" hidden="true" customHeight="true" outlineLevel="0" collapsed="false">
      <c r="A566" s="63" t="n">
        <v>2023</v>
      </c>
      <c r="B566" s="79" t="s">
        <v>332</v>
      </c>
      <c r="C566" s="79"/>
      <c r="D566" s="63"/>
      <c r="E566" s="63"/>
      <c r="F566" s="63"/>
      <c r="G566" s="63"/>
    </row>
    <row r="567" customFormat="false" ht="15.75" hidden="true" customHeight="true" outlineLevel="0" collapsed="false">
      <c r="A567" s="63" t="n">
        <v>2023</v>
      </c>
      <c r="B567" s="79" t="s">
        <v>332</v>
      </c>
      <c r="C567" s="79"/>
      <c r="D567" s="63"/>
      <c r="E567" s="63"/>
      <c r="F567" s="63"/>
      <c r="G567" s="63"/>
    </row>
    <row r="568" customFormat="false" ht="15.75" hidden="true" customHeight="true" outlineLevel="0" collapsed="false">
      <c r="A568" s="63" t="n">
        <v>2023</v>
      </c>
      <c r="B568" s="79" t="s">
        <v>332</v>
      </c>
      <c r="C568" s="79"/>
      <c r="D568" s="63"/>
      <c r="E568" s="63"/>
      <c r="F568" s="63"/>
      <c r="G568" s="63"/>
    </row>
    <row r="569" customFormat="false" ht="15.75" hidden="true" customHeight="true" outlineLevel="0" collapsed="false">
      <c r="A569" s="63" t="n">
        <v>2023</v>
      </c>
      <c r="B569" s="79" t="s">
        <v>332</v>
      </c>
      <c r="C569" s="79"/>
      <c r="D569" s="63"/>
      <c r="E569" s="63"/>
      <c r="F569" s="63"/>
      <c r="G569" s="63"/>
    </row>
    <row r="570" customFormat="false" ht="15.75" hidden="true" customHeight="true" outlineLevel="0" collapsed="false">
      <c r="A570" s="63" t="n">
        <v>2023</v>
      </c>
      <c r="B570" s="79" t="s">
        <v>332</v>
      </c>
      <c r="C570" s="79"/>
      <c r="D570" s="63"/>
      <c r="E570" s="63"/>
      <c r="F570" s="63"/>
      <c r="G570" s="63"/>
    </row>
    <row r="571" customFormat="false" ht="15.75" hidden="true" customHeight="true" outlineLevel="0" collapsed="false">
      <c r="A571" s="99" t="s">
        <v>407</v>
      </c>
      <c r="B571" s="99"/>
      <c r="C571" s="99"/>
      <c r="D571" s="99"/>
      <c r="E571" s="99"/>
      <c r="F571" s="99"/>
      <c r="G571" s="99"/>
    </row>
    <row r="572" customFormat="false" ht="15.75" hidden="true" customHeight="true" outlineLevel="0" collapsed="false">
      <c r="A572" s="63" t="n">
        <v>2023</v>
      </c>
      <c r="B572" s="79" t="s">
        <v>333</v>
      </c>
      <c r="C572" s="79"/>
      <c r="D572" s="63"/>
      <c r="E572" s="63"/>
      <c r="F572" s="63"/>
      <c r="G572" s="63"/>
    </row>
    <row r="573" customFormat="false" ht="15.75" hidden="true" customHeight="true" outlineLevel="0" collapsed="false">
      <c r="A573" s="63" t="n">
        <v>2023</v>
      </c>
      <c r="B573" s="79" t="s">
        <v>333</v>
      </c>
      <c r="C573" s="79"/>
      <c r="D573" s="63"/>
      <c r="E573" s="63"/>
      <c r="F573" s="63"/>
      <c r="G573" s="63"/>
    </row>
    <row r="574" customFormat="false" ht="15.75" hidden="true" customHeight="true" outlineLevel="0" collapsed="false">
      <c r="A574" s="63" t="n">
        <v>2023</v>
      </c>
      <c r="B574" s="79" t="s">
        <v>333</v>
      </c>
      <c r="C574" s="79"/>
      <c r="D574" s="63"/>
      <c r="E574" s="63"/>
      <c r="F574" s="63"/>
      <c r="G574" s="63"/>
    </row>
    <row r="575" customFormat="false" ht="15.75" hidden="true" customHeight="true" outlineLevel="0" collapsed="false">
      <c r="A575" s="63" t="n">
        <v>2023</v>
      </c>
      <c r="B575" s="79" t="s">
        <v>333</v>
      </c>
      <c r="C575" s="79"/>
      <c r="D575" s="63"/>
      <c r="E575" s="63"/>
      <c r="F575" s="63"/>
      <c r="G575" s="63"/>
    </row>
    <row r="576" customFormat="false" ht="15.75" hidden="true" customHeight="true" outlineLevel="0" collapsed="false">
      <c r="A576" s="63" t="n">
        <v>2023</v>
      </c>
      <c r="B576" s="79" t="s">
        <v>333</v>
      </c>
      <c r="C576" s="79"/>
      <c r="D576" s="63"/>
      <c r="E576" s="63"/>
      <c r="F576" s="63"/>
      <c r="G576" s="63"/>
    </row>
    <row r="577" customFormat="false" ht="15.75" hidden="true" customHeight="true" outlineLevel="0" collapsed="false">
      <c r="A577" s="63" t="n">
        <v>2023</v>
      </c>
      <c r="B577" s="79" t="s">
        <v>333</v>
      </c>
      <c r="C577" s="79"/>
      <c r="D577" s="63"/>
      <c r="E577" s="63"/>
      <c r="F577" s="63"/>
      <c r="G577" s="63"/>
    </row>
    <row r="578" customFormat="false" ht="15.75" hidden="true" customHeight="true" outlineLevel="0" collapsed="false">
      <c r="A578" s="63" t="n">
        <v>2023</v>
      </c>
      <c r="B578" s="79" t="s">
        <v>333</v>
      </c>
      <c r="C578" s="79"/>
      <c r="D578" s="63"/>
      <c r="E578" s="63"/>
      <c r="F578" s="63"/>
      <c r="G578" s="63"/>
    </row>
    <row r="579" customFormat="false" ht="15.75" hidden="true" customHeight="true" outlineLevel="0" collapsed="false">
      <c r="A579" s="63" t="n">
        <v>2023</v>
      </c>
      <c r="B579" s="79" t="s">
        <v>333</v>
      </c>
      <c r="C579" s="79"/>
      <c r="D579" s="63"/>
      <c r="E579" s="63"/>
      <c r="F579" s="63"/>
      <c r="G579" s="63"/>
    </row>
    <row r="580" customFormat="false" ht="15.75" hidden="true" customHeight="true" outlineLevel="0" collapsed="false">
      <c r="A580" s="63" t="n">
        <v>2023</v>
      </c>
      <c r="B580" s="79" t="s">
        <v>333</v>
      </c>
      <c r="C580" s="79"/>
      <c r="D580" s="63"/>
      <c r="E580" s="63"/>
      <c r="F580" s="63"/>
      <c r="G580" s="63"/>
    </row>
    <row r="581" customFormat="false" ht="15.75" hidden="true" customHeight="true" outlineLevel="0" collapsed="false">
      <c r="A581" s="63" t="n">
        <v>2023</v>
      </c>
      <c r="B581" s="79" t="s">
        <v>333</v>
      </c>
      <c r="C581" s="79"/>
      <c r="D581" s="63"/>
      <c r="E581" s="63"/>
      <c r="F581" s="63"/>
      <c r="G581" s="63"/>
    </row>
    <row r="582" customFormat="false" ht="15.75" hidden="true" customHeight="true" outlineLevel="0" collapsed="false">
      <c r="A582" s="63" t="n">
        <v>2023</v>
      </c>
      <c r="B582" s="79" t="s">
        <v>333</v>
      </c>
      <c r="C582" s="79"/>
      <c r="D582" s="63"/>
      <c r="E582" s="63"/>
      <c r="F582" s="63"/>
      <c r="G582" s="63"/>
    </row>
    <row r="583" customFormat="false" ht="15.75" hidden="true" customHeight="true" outlineLevel="0" collapsed="false">
      <c r="A583" s="63" t="n">
        <v>2023</v>
      </c>
      <c r="B583" s="79" t="s">
        <v>333</v>
      </c>
      <c r="C583" s="79"/>
      <c r="D583" s="63"/>
      <c r="E583" s="63"/>
      <c r="F583" s="63"/>
      <c r="G583" s="63"/>
    </row>
    <row r="584" customFormat="false" ht="15.75" hidden="true" customHeight="true" outlineLevel="0" collapsed="false">
      <c r="A584" s="63" t="n">
        <v>2023</v>
      </c>
      <c r="B584" s="79" t="s">
        <v>333</v>
      </c>
      <c r="C584" s="79"/>
      <c r="D584" s="63"/>
      <c r="E584" s="63"/>
      <c r="F584" s="63"/>
      <c r="G584" s="63"/>
    </row>
    <row r="585" customFormat="false" ht="15.75" hidden="true" customHeight="true" outlineLevel="0" collapsed="false">
      <c r="A585" s="63" t="n">
        <v>2023</v>
      </c>
      <c r="B585" s="79" t="s">
        <v>333</v>
      </c>
      <c r="C585" s="79"/>
      <c r="D585" s="63"/>
      <c r="E585" s="63"/>
      <c r="F585" s="63"/>
      <c r="G585" s="63"/>
    </row>
    <row r="586" customFormat="false" ht="15.75" hidden="true" customHeight="true" outlineLevel="0" collapsed="false">
      <c r="A586" s="63" t="n">
        <v>2023</v>
      </c>
      <c r="B586" s="79" t="s">
        <v>333</v>
      </c>
      <c r="C586" s="79"/>
      <c r="D586" s="63"/>
      <c r="E586" s="63"/>
      <c r="F586" s="63"/>
      <c r="G586" s="63"/>
    </row>
    <row r="587" customFormat="false" ht="15.75" hidden="true" customHeight="true" outlineLevel="0" collapsed="false">
      <c r="A587" s="63" t="n">
        <v>2023</v>
      </c>
      <c r="B587" s="79" t="s">
        <v>333</v>
      </c>
      <c r="C587" s="79"/>
      <c r="D587" s="63"/>
      <c r="E587" s="63"/>
      <c r="F587" s="63"/>
      <c r="G587" s="63"/>
    </row>
    <row r="588" customFormat="false" ht="15.75" hidden="true" customHeight="true" outlineLevel="0" collapsed="false">
      <c r="A588" s="63" t="n">
        <v>2023</v>
      </c>
      <c r="B588" s="79" t="s">
        <v>333</v>
      </c>
      <c r="C588" s="79"/>
      <c r="D588" s="63"/>
      <c r="E588" s="63"/>
      <c r="F588" s="63"/>
      <c r="G588" s="63"/>
    </row>
    <row r="589" customFormat="false" ht="15.75" hidden="true" customHeight="true" outlineLevel="0" collapsed="false">
      <c r="A589" s="63" t="n">
        <v>2023</v>
      </c>
      <c r="B589" s="79" t="s">
        <v>333</v>
      </c>
      <c r="C589" s="79"/>
      <c r="D589" s="63"/>
      <c r="E589" s="63"/>
      <c r="F589" s="63"/>
      <c r="G589" s="63"/>
    </row>
    <row r="590" customFormat="false" ht="15.75" hidden="true" customHeight="true" outlineLevel="0" collapsed="false">
      <c r="A590" s="63" t="n">
        <v>2023</v>
      </c>
      <c r="B590" s="79" t="s">
        <v>333</v>
      </c>
      <c r="C590" s="79"/>
      <c r="D590" s="63"/>
      <c r="E590" s="63"/>
      <c r="F590" s="63"/>
      <c r="G590" s="63"/>
    </row>
    <row r="591" customFormat="false" ht="15.75" hidden="true" customHeight="true" outlineLevel="0" collapsed="false">
      <c r="A591" s="63" t="n">
        <v>2023</v>
      </c>
      <c r="B591" s="79" t="s">
        <v>333</v>
      </c>
      <c r="C591" s="79"/>
      <c r="D591" s="63"/>
      <c r="E591" s="63"/>
      <c r="F591" s="63"/>
      <c r="G591" s="63"/>
    </row>
    <row r="592" customFormat="false" ht="15.75" hidden="true" customHeight="true" outlineLevel="0" collapsed="false">
      <c r="A592" s="99" t="s">
        <v>408</v>
      </c>
      <c r="B592" s="99"/>
      <c r="C592" s="99"/>
      <c r="D592" s="99"/>
      <c r="E592" s="99"/>
      <c r="F592" s="99"/>
      <c r="G592" s="99"/>
    </row>
    <row r="593" customFormat="false" ht="15.75" hidden="true" customHeight="true" outlineLevel="0" collapsed="false">
      <c r="A593" s="63" t="n">
        <v>2023</v>
      </c>
      <c r="B593" s="79" t="s">
        <v>65</v>
      </c>
      <c r="C593" s="79"/>
      <c r="D593" s="63"/>
      <c r="E593" s="63"/>
      <c r="F593" s="63"/>
      <c r="G593" s="63"/>
    </row>
    <row r="594" customFormat="false" ht="15.75" hidden="true" customHeight="true" outlineLevel="0" collapsed="false">
      <c r="A594" s="63" t="n">
        <v>2023</v>
      </c>
      <c r="B594" s="79" t="s">
        <v>65</v>
      </c>
      <c r="C594" s="79"/>
      <c r="D594" s="63"/>
      <c r="E594" s="63"/>
      <c r="F594" s="63"/>
      <c r="G594" s="63"/>
    </row>
    <row r="595" customFormat="false" ht="15.75" hidden="true" customHeight="true" outlineLevel="0" collapsed="false">
      <c r="A595" s="63" t="n">
        <v>2023</v>
      </c>
      <c r="B595" s="79" t="s">
        <v>65</v>
      </c>
      <c r="C595" s="79"/>
      <c r="D595" s="63"/>
      <c r="E595" s="63"/>
      <c r="F595" s="63"/>
      <c r="G595" s="63"/>
    </row>
    <row r="596" customFormat="false" ht="15.75" hidden="true" customHeight="true" outlineLevel="0" collapsed="false">
      <c r="A596" s="63" t="n">
        <v>2023</v>
      </c>
      <c r="B596" s="79" t="s">
        <v>65</v>
      </c>
      <c r="C596" s="79"/>
      <c r="D596" s="63"/>
      <c r="E596" s="63"/>
      <c r="F596" s="63"/>
      <c r="G596" s="63"/>
    </row>
    <row r="597" customFormat="false" ht="15.75" hidden="true" customHeight="true" outlineLevel="0" collapsed="false">
      <c r="A597" s="63" t="n">
        <v>2023</v>
      </c>
      <c r="B597" s="79" t="s">
        <v>65</v>
      </c>
      <c r="C597" s="79"/>
      <c r="D597" s="63"/>
      <c r="E597" s="63"/>
      <c r="F597" s="63"/>
      <c r="G597" s="63"/>
    </row>
    <row r="598" customFormat="false" ht="15.75" hidden="true" customHeight="true" outlineLevel="0" collapsed="false">
      <c r="A598" s="63" t="n">
        <v>2023</v>
      </c>
      <c r="B598" s="79" t="s">
        <v>65</v>
      </c>
      <c r="C598" s="79"/>
      <c r="D598" s="63"/>
      <c r="E598" s="63"/>
      <c r="F598" s="63"/>
      <c r="G598" s="63"/>
    </row>
    <row r="599" customFormat="false" ht="15.75" hidden="true" customHeight="true" outlineLevel="0" collapsed="false">
      <c r="A599" s="63" t="n">
        <v>2023</v>
      </c>
      <c r="B599" s="79" t="s">
        <v>65</v>
      </c>
      <c r="C599" s="79"/>
      <c r="D599" s="63"/>
      <c r="E599" s="63"/>
      <c r="F599" s="63"/>
      <c r="G599" s="63"/>
    </row>
    <row r="600" customFormat="false" ht="15.75" hidden="true" customHeight="true" outlineLevel="0" collapsed="false">
      <c r="A600" s="63" t="n">
        <v>2023</v>
      </c>
      <c r="B600" s="79" t="s">
        <v>65</v>
      </c>
      <c r="C600" s="79"/>
      <c r="D600" s="63"/>
      <c r="E600" s="63"/>
      <c r="F600" s="63"/>
      <c r="G600" s="63"/>
    </row>
    <row r="601" customFormat="false" ht="15.75" hidden="true" customHeight="true" outlineLevel="0" collapsed="false">
      <c r="A601" s="63" t="n">
        <v>2023</v>
      </c>
      <c r="B601" s="79" t="s">
        <v>65</v>
      </c>
      <c r="C601" s="79"/>
      <c r="D601" s="63"/>
      <c r="E601" s="63"/>
      <c r="F601" s="63"/>
      <c r="G601" s="63"/>
    </row>
    <row r="602" customFormat="false" ht="15.75" hidden="true" customHeight="true" outlineLevel="0" collapsed="false">
      <c r="A602" s="63" t="n">
        <v>2023</v>
      </c>
      <c r="B602" s="79" t="s">
        <v>65</v>
      </c>
      <c r="C602" s="79"/>
      <c r="D602" s="63"/>
      <c r="E602" s="63"/>
      <c r="F602" s="63"/>
      <c r="G602" s="63"/>
    </row>
    <row r="603" customFormat="false" ht="15.75" hidden="true" customHeight="true" outlineLevel="0" collapsed="false">
      <c r="A603" s="63" t="n">
        <v>2023</v>
      </c>
      <c r="B603" s="79" t="s">
        <v>65</v>
      </c>
      <c r="C603" s="79"/>
      <c r="D603" s="63"/>
      <c r="E603" s="63"/>
      <c r="F603" s="63"/>
      <c r="G603" s="63"/>
    </row>
    <row r="604" customFormat="false" ht="15.75" hidden="true" customHeight="true" outlineLevel="0" collapsed="false">
      <c r="A604" s="63" t="n">
        <v>2023</v>
      </c>
      <c r="B604" s="79" t="s">
        <v>65</v>
      </c>
      <c r="C604" s="79"/>
      <c r="D604" s="63"/>
      <c r="E604" s="63"/>
      <c r="F604" s="63"/>
      <c r="G604" s="63"/>
    </row>
    <row r="605" customFormat="false" ht="15.75" hidden="true" customHeight="true" outlineLevel="0" collapsed="false">
      <c r="A605" s="63" t="n">
        <v>2023</v>
      </c>
      <c r="B605" s="79" t="s">
        <v>65</v>
      </c>
      <c r="C605" s="79"/>
      <c r="D605" s="63"/>
      <c r="E605" s="63"/>
      <c r="F605" s="63"/>
      <c r="G605" s="63"/>
    </row>
    <row r="606" customFormat="false" ht="15.75" hidden="true" customHeight="true" outlineLevel="0" collapsed="false">
      <c r="A606" s="63" t="n">
        <v>2023</v>
      </c>
      <c r="B606" s="79" t="s">
        <v>65</v>
      </c>
      <c r="C606" s="79"/>
      <c r="D606" s="63"/>
      <c r="E606" s="63"/>
      <c r="F606" s="63"/>
      <c r="G606" s="63"/>
    </row>
    <row r="607" customFormat="false" ht="15.75" hidden="true" customHeight="true" outlineLevel="0" collapsed="false">
      <c r="A607" s="63" t="n">
        <v>2023</v>
      </c>
      <c r="B607" s="79" t="s">
        <v>65</v>
      </c>
      <c r="C607" s="79"/>
      <c r="D607" s="63"/>
      <c r="E607" s="63"/>
      <c r="F607" s="63"/>
      <c r="G607" s="63"/>
    </row>
    <row r="608" customFormat="false" ht="15.75" hidden="true" customHeight="true" outlineLevel="0" collapsed="false">
      <c r="A608" s="63" t="n">
        <v>2023</v>
      </c>
      <c r="B608" s="79" t="s">
        <v>65</v>
      </c>
      <c r="C608" s="79"/>
      <c r="D608" s="63"/>
      <c r="E608" s="63"/>
      <c r="F608" s="63"/>
      <c r="G608" s="63"/>
    </row>
    <row r="609" customFormat="false" ht="15.75" hidden="true" customHeight="true" outlineLevel="0" collapsed="false">
      <c r="A609" s="63" t="n">
        <v>2023</v>
      </c>
      <c r="B609" s="79" t="s">
        <v>65</v>
      </c>
      <c r="C609" s="79"/>
      <c r="D609" s="63"/>
      <c r="E609" s="63"/>
      <c r="F609" s="63"/>
      <c r="G609" s="63"/>
    </row>
    <row r="610" customFormat="false" ht="15.75" hidden="true" customHeight="true" outlineLevel="0" collapsed="false">
      <c r="A610" s="63" t="n">
        <v>2023</v>
      </c>
      <c r="B610" s="79" t="s">
        <v>65</v>
      </c>
      <c r="C610" s="79"/>
      <c r="D610" s="63"/>
      <c r="E610" s="63"/>
      <c r="F610" s="63"/>
      <c r="G610" s="63"/>
    </row>
    <row r="611" customFormat="false" ht="15.75" hidden="true" customHeight="true" outlineLevel="0" collapsed="false">
      <c r="A611" s="63" t="n">
        <v>2023</v>
      </c>
      <c r="B611" s="79" t="s">
        <v>65</v>
      </c>
      <c r="C611" s="79"/>
      <c r="D611" s="63"/>
      <c r="E611" s="63"/>
      <c r="F611" s="63"/>
      <c r="G611" s="63"/>
    </row>
    <row r="612" customFormat="false" ht="15.75" hidden="true" customHeight="true" outlineLevel="0" collapsed="false">
      <c r="A612" s="63" t="n">
        <v>2023</v>
      </c>
      <c r="B612" s="79" t="s">
        <v>65</v>
      </c>
      <c r="C612" s="79"/>
      <c r="D612" s="63"/>
      <c r="E612" s="63"/>
      <c r="F612" s="63"/>
      <c r="G612" s="63"/>
    </row>
    <row r="613" customFormat="false" ht="15.75" hidden="true" customHeight="true" outlineLevel="0" collapsed="false">
      <c r="A613" s="99" t="s">
        <v>409</v>
      </c>
      <c r="B613" s="99"/>
      <c r="C613" s="99"/>
      <c r="D613" s="99"/>
      <c r="E613" s="99"/>
      <c r="F613" s="99"/>
      <c r="G613" s="99"/>
    </row>
    <row r="614" customFormat="false" ht="15.75" hidden="true" customHeight="true" outlineLevel="0" collapsed="false">
      <c r="A614" s="63" t="n">
        <v>2023</v>
      </c>
      <c r="B614" s="79" t="s">
        <v>108</v>
      </c>
      <c r="C614" s="79"/>
      <c r="D614" s="63"/>
      <c r="E614" s="63"/>
      <c r="F614" s="63"/>
      <c r="G614" s="63"/>
    </row>
    <row r="615" customFormat="false" ht="15.75" hidden="true" customHeight="true" outlineLevel="0" collapsed="false">
      <c r="A615" s="63" t="n">
        <v>2023</v>
      </c>
      <c r="B615" s="79" t="s">
        <v>108</v>
      </c>
      <c r="C615" s="79"/>
      <c r="D615" s="63"/>
      <c r="E615" s="63"/>
      <c r="F615" s="63"/>
      <c r="G615" s="63"/>
    </row>
    <row r="616" customFormat="false" ht="15.75" hidden="true" customHeight="true" outlineLevel="0" collapsed="false">
      <c r="A616" s="63" t="n">
        <v>2023</v>
      </c>
      <c r="B616" s="79" t="s">
        <v>108</v>
      </c>
      <c r="C616" s="79"/>
      <c r="D616" s="63"/>
      <c r="E616" s="63"/>
      <c r="F616" s="63"/>
      <c r="G616" s="63"/>
    </row>
    <row r="617" customFormat="false" ht="15.75" hidden="true" customHeight="true" outlineLevel="0" collapsed="false">
      <c r="A617" s="63" t="n">
        <v>2023</v>
      </c>
      <c r="B617" s="79" t="s">
        <v>108</v>
      </c>
      <c r="C617" s="79"/>
      <c r="D617" s="63"/>
      <c r="E617" s="63"/>
      <c r="F617" s="63"/>
      <c r="G617" s="63"/>
    </row>
    <row r="618" customFormat="false" ht="15.75" hidden="true" customHeight="true" outlineLevel="0" collapsed="false">
      <c r="A618" s="63" t="n">
        <v>2023</v>
      </c>
      <c r="B618" s="79" t="s">
        <v>108</v>
      </c>
      <c r="C618" s="79"/>
      <c r="D618" s="63"/>
      <c r="E618" s="63"/>
      <c r="F618" s="63"/>
      <c r="G618" s="63"/>
    </row>
    <row r="619" customFormat="false" ht="15.75" hidden="true" customHeight="true" outlineLevel="0" collapsed="false">
      <c r="A619" s="63" t="n">
        <v>2023</v>
      </c>
      <c r="B619" s="79" t="s">
        <v>108</v>
      </c>
      <c r="C619" s="79"/>
      <c r="D619" s="63"/>
      <c r="E619" s="63"/>
      <c r="F619" s="63"/>
      <c r="G619" s="63"/>
    </row>
    <row r="620" customFormat="false" ht="15.75" hidden="true" customHeight="true" outlineLevel="0" collapsed="false">
      <c r="A620" s="63" t="n">
        <v>2023</v>
      </c>
      <c r="B620" s="79" t="s">
        <v>108</v>
      </c>
      <c r="C620" s="79"/>
      <c r="D620" s="63"/>
      <c r="E620" s="63"/>
      <c r="F620" s="63"/>
      <c r="G620" s="63"/>
    </row>
    <row r="621" customFormat="false" ht="15.75" hidden="true" customHeight="true" outlineLevel="0" collapsed="false">
      <c r="A621" s="63" t="n">
        <v>2023</v>
      </c>
      <c r="B621" s="79" t="s">
        <v>108</v>
      </c>
      <c r="C621" s="79"/>
      <c r="D621" s="63"/>
      <c r="E621" s="63"/>
      <c r="F621" s="63"/>
      <c r="G621" s="63"/>
    </row>
    <row r="622" customFormat="false" ht="15.75" hidden="true" customHeight="true" outlineLevel="0" collapsed="false">
      <c r="A622" s="63" t="n">
        <v>2023</v>
      </c>
      <c r="B622" s="79" t="s">
        <v>108</v>
      </c>
      <c r="C622" s="79"/>
      <c r="D622" s="63"/>
      <c r="E622" s="63"/>
      <c r="F622" s="63"/>
      <c r="G622" s="63"/>
    </row>
    <row r="623" customFormat="false" ht="15.75" hidden="true" customHeight="true" outlineLevel="0" collapsed="false">
      <c r="A623" s="63" t="n">
        <v>2023</v>
      </c>
      <c r="B623" s="79" t="s">
        <v>108</v>
      </c>
      <c r="C623" s="79"/>
      <c r="D623" s="63"/>
      <c r="E623" s="63"/>
      <c r="F623" s="63"/>
      <c r="G623" s="63"/>
    </row>
    <row r="624" customFormat="false" ht="15.75" hidden="true" customHeight="true" outlineLevel="0" collapsed="false">
      <c r="A624" s="63" t="n">
        <v>2023</v>
      </c>
      <c r="B624" s="79" t="s">
        <v>108</v>
      </c>
      <c r="C624" s="79"/>
      <c r="D624" s="63"/>
      <c r="E624" s="63"/>
      <c r="F624" s="63"/>
      <c r="G624" s="63"/>
    </row>
    <row r="625" customFormat="false" ht="15.75" hidden="true" customHeight="true" outlineLevel="0" collapsed="false">
      <c r="A625" s="63" t="n">
        <v>2023</v>
      </c>
      <c r="B625" s="79" t="s">
        <v>108</v>
      </c>
      <c r="C625" s="79"/>
      <c r="D625" s="63"/>
      <c r="E625" s="63"/>
      <c r="F625" s="63"/>
      <c r="G625" s="63"/>
    </row>
    <row r="626" customFormat="false" ht="15.75" hidden="true" customHeight="true" outlineLevel="0" collapsed="false">
      <c r="A626" s="63" t="n">
        <v>2023</v>
      </c>
      <c r="B626" s="79" t="s">
        <v>108</v>
      </c>
      <c r="C626" s="79"/>
      <c r="D626" s="63"/>
      <c r="E626" s="63"/>
      <c r="F626" s="63"/>
      <c r="G626" s="63"/>
    </row>
    <row r="627" customFormat="false" ht="15.75" hidden="true" customHeight="true" outlineLevel="0" collapsed="false">
      <c r="A627" s="63" t="n">
        <v>2023</v>
      </c>
      <c r="B627" s="79" t="s">
        <v>108</v>
      </c>
      <c r="C627" s="79"/>
      <c r="D627" s="63"/>
      <c r="E627" s="63"/>
      <c r="F627" s="63"/>
      <c r="G627" s="63"/>
    </row>
    <row r="628" customFormat="false" ht="15.75" hidden="true" customHeight="true" outlineLevel="0" collapsed="false">
      <c r="A628" s="63" t="n">
        <v>2023</v>
      </c>
      <c r="B628" s="79" t="s">
        <v>108</v>
      </c>
      <c r="C628" s="79"/>
      <c r="D628" s="63"/>
      <c r="E628" s="63"/>
      <c r="F628" s="63"/>
      <c r="G628" s="63"/>
    </row>
    <row r="629" customFormat="false" ht="15.75" hidden="true" customHeight="true" outlineLevel="0" collapsed="false">
      <c r="A629" s="63" t="n">
        <v>2023</v>
      </c>
      <c r="B629" s="79" t="s">
        <v>108</v>
      </c>
      <c r="C629" s="79"/>
      <c r="D629" s="63"/>
      <c r="E629" s="63"/>
      <c r="F629" s="63"/>
      <c r="G629" s="63"/>
    </row>
    <row r="630" customFormat="false" ht="15.75" hidden="true" customHeight="true" outlineLevel="0" collapsed="false">
      <c r="A630" s="63" t="n">
        <v>2023</v>
      </c>
      <c r="B630" s="79" t="s">
        <v>108</v>
      </c>
      <c r="C630" s="79"/>
      <c r="D630" s="63"/>
      <c r="E630" s="63"/>
      <c r="F630" s="63"/>
      <c r="G630" s="63"/>
    </row>
    <row r="631" customFormat="false" ht="15.75" hidden="true" customHeight="true" outlineLevel="0" collapsed="false">
      <c r="A631" s="63" t="n">
        <v>2023</v>
      </c>
      <c r="B631" s="79" t="s">
        <v>108</v>
      </c>
      <c r="C631" s="79"/>
      <c r="D631" s="63"/>
      <c r="E631" s="63"/>
      <c r="F631" s="63"/>
      <c r="G631" s="63"/>
    </row>
    <row r="632" customFormat="false" ht="15.75" hidden="true" customHeight="true" outlineLevel="0" collapsed="false">
      <c r="A632" s="63" t="n">
        <v>2023</v>
      </c>
      <c r="B632" s="79" t="s">
        <v>108</v>
      </c>
      <c r="C632" s="79"/>
      <c r="D632" s="63"/>
      <c r="E632" s="63"/>
      <c r="F632" s="63"/>
      <c r="G632" s="63"/>
    </row>
    <row r="633" customFormat="false" ht="15.75" hidden="true" customHeight="true" outlineLevel="0" collapsed="false">
      <c r="A633" s="63" t="n">
        <v>2023</v>
      </c>
      <c r="B633" s="79" t="s">
        <v>108</v>
      </c>
      <c r="C633" s="79"/>
      <c r="D633" s="63"/>
      <c r="E633" s="63"/>
      <c r="F633" s="63"/>
      <c r="G633" s="63"/>
    </row>
    <row r="634" customFormat="false" ht="15.75" hidden="true" customHeight="true" outlineLevel="0" collapsed="false">
      <c r="A634" s="99" t="s">
        <v>410</v>
      </c>
      <c r="B634" s="99"/>
      <c r="C634" s="99"/>
      <c r="D634" s="99"/>
      <c r="E634" s="99"/>
      <c r="F634" s="99"/>
      <c r="G634" s="99"/>
    </row>
    <row r="635" customFormat="false" ht="15.75" hidden="true" customHeight="true" outlineLevel="0" collapsed="false">
      <c r="A635" s="63" t="n">
        <v>2023</v>
      </c>
      <c r="B635" s="79" t="s">
        <v>137</v>
      </c>
      <c r="C635" s="79"/>
      <c r="D635" s="63"/>
      <c r="E635" s="63"/>
      <c r="F635" s="63"/>
      <c r="G635" s="63"/>
    </row>
    <row r="636" customFormat="false" ht="15.75" hidden="true" customHeight="true" outlineLevel="0" collapsed="false">
      <c r="A636" s="63" t="n">
        <v>2023</v>
      </c>
      <c r="B636" s="79" t="s">
        <v>137</v>
      </c>
      <c r="C636" s="79"/>
      <c r="D636" s="63"/>
      <c r="E636" s="63"/>
      <c r="F636" s="63"/>
      <c r="G636" s="63"/>
    </row>
    <row r="637" customFormat="false" ht="15.75" hidden="true" customHeight="true" outlineLevel="0" collapsed="false">
      <c r="A637" s="63" t="n">
        <v>2023</v>
      </c>
      <c r="B637" s="79" t="s">
        <v>137</v>
      </c>
      <c r="C637" s="79"/>
      <c r="D637" s="63"/>
      <c r="E637" s="63"/>
      <c r="F637" s="63"/>
      <c r="G637" s="63"/>
    </row>
    <row r="638" customFormat="false" ht="15.75" hidden="true" customHeight="true" outlineLevel="0" collapsed="false">
      <c r="A638" s="63" t="n">
        <v>2023</v>
      </c>
      <c r="B638" s="79" t="s">
        <v>137</v>
      </c>
      <c r="C638" s="79"/>
      <c r="D638" s="63"/>
      <c r="E638" s="63"/>
      <c r="F638" s="63"/>
      <c r="G638" s="63"/>
    </row>
    <row r="639" customFormat="false" ht="15.75" hidden="true" customHeight="true" outlineLevel="0" collapsed="false">
      <c r="A639" s="63" t="n">
        <v>2023</v>
      </c>
      <c r="B639" s="79" t="s">
        <v>137</v>
      </c>
      <c r="C639" s="79"/>
      <c r="D639" s="63"/>
      <c r="E639" s="63"/>
      <c r="F639" s="63"/>
      <c r="G639" s="63"/>
    </row>
    <row r="640" customFormat="false" ht="15.75" hidden="true" customHeight="true" outlineLevel="0" collapsed="false">
      <c r="A640" s="63" t="n">
        <v>2023</v>
      </c>
      <c r="B640" s="79" t="s">
        <v>137</v>
      </c>
      <c r="C640" s="79"/>
      <c r="D640" s="63"/>
      <c r="E640" s="63"/>
      <c r="F640" s="63"/>
      <c r="G640" s="63"/>
    </row>
    <row r="641" customFormat="false" ht="15.75" hidden="true" customHeight="true" outlineLevel="0" collapsed="false">
      <c r="A641" s="63" t="n">
        <v>2023</v>
      </c>
      <c r="B641" s="79" t="s">
        <v>137</v>
      </c>
      <c r="C641" s="79"/>
      <c r="D641" s="63"/>
      <c r="E641" s="63"/>
      <c r="F641" s="63"/>
      <c r="G641" s="63"/>
    </row>
    <row r="642" customFormat="false" ht="15.75" hidden="true" customHeight="true" outlineLevel="0" collapsed="false">
      <c r="A642" s="63" t="n">
        <v>2023</v>
      </c>
      <c r="B642" s="79" t="s">
        <v>137</v>
      </c>
      <c r="C642" s="79"/>
      <c r="D642" s="63"/>
      <c r="E642" s="63"/>
      <c r="F642" s="63"/>
      <c r="G642" s="63"/>
    </row>
    <row r="643" customFormat="false" ht="15.75" hidden="true" customHeight="true" outlineLevel="0" collapsed="false">
      <c r="A643" s="63" t="n">
        <v>2023</v>
      </c>
      <c r="B643" s="79" t="s">
        <v>137</v>
      </c>
      <c r="C643" s="79"/>
      <c r="D643" s="63"/>
      <c r="E643" s="63"/>
      <c r="F643" s="63"/>
      <c r="G643" s="63"/>
    </row>
    <row r="644" customFormat="false" ht="15.75" hidden="true" customHeight="true" outlineLevel="0" collapsed="false">
      <c r="A644" s="63" t="n">
        <v>2023</v>
      </c>
      <c r="B644" s="79" t="s">
        <v>137</v>
      </c>
      <c r="C644" s="79"/>
      <c r="D644" s="63"/>
      <c r="E644" s="63"/>
      <c r="F644" s="63"/>
      <c r="G644" s="63"/>
    </row>
    <row r="645" customFormat="false" ht="15.75" hidden="true" customHeight="true" outlineLevel="0" collapsed="false">
      <c r="A645" s="63" t="n">
        <v>2023</v>
      </c>
      <c r="B645" s="79" t="s">
        <v>137</v>
      </c>
      <c r="C645" s="79"/>
      <c r="D645" s="63"/>
      <c r="E645" s="63"/>
      <c r="F645" s="63"/>
      <c r="G645" s="63"/>
    </row>
    <row r="646" customFormat="false" ht="15.75" hidden="true" customHeight="true" outlineLevel="0" collapsed="false">
      <c r="A646" s="63" t="n">
        <v>2023</v>
      </c>
      <c r="B646" s="79" t="s">
        <v>137</v>
      </c>
      <c r="C646" s="79"/>
      <c r="D646" s="63"/>
      <c r="E646" s="63"/>
      <c r="F646" s="63"/>
      <c r="G646" s="63"/>
    </row>
    <row r="647" customFormat="false" ht="15.75" hidden="true" customHeight="true" outlineLevel="0" collapsed="false">
      <c r="A647" s="63" t="n">
        <v>2023</v>
      </c>
      <c r="B647" s="79" t="s">
        <v>137</v>
      </c>
      <c r="C647" s="79"/>
      <c r="D647" s="63"/>
      <c r="E647" s="63"/>
      <c r="F647" s="63"/>
      <c r="G647" s="63"/>
    </row>
    <row r="648" customFormat="false" ht="15.75" hidden="true" customHeight="true" outlineLevel="0" collapsed="false">
      <c r="A648" s="63" t="n">
        <v>2023</v>
      </c>
      <c r="B648" s="79" t="s">
        <v>137</v>
      </c>
      <c r="C648" s="79"/>
      <c r="D648" s="63"/>
      <c r="E648" s="63"/>
      <c r="F648" s="63"/>
      <c r="G648" s="63"/>
    </row>
    <row r="649" customFormat="false" ht="15.75" hidden="true" customHeight="true" outlineLevel="0" collapsed="false">
      <c r="A649" s="63" t="n">
        <v>2023</v>
      </c>
      <c r="B649" s="79" t="s">
        <v>137</v>
      </c>
      <c r="C649" s="79"/>
      <c r="D649" s="63"/>
      <c r="E649" s="63"/>
      <c r="F649" s="63"/>
      <c r="G649" s="63"/>
    </row>
    <row r="650" customFormat="false" ht="15.75" hidden="true" customHeight="true" outlineLevel="0" collapsed="false">
      <c r="A650" s="63" t="n">
        <v>2023</v>
      </c>
      <c r="B650" s="79" t="s">
        <v>137</v>
      </c>
      <c r="C650" s="79"/>
      <c r="D650" s="63"/>
      <c r="E650" s="63"/>
      <c r="F650" s="63"/>
      <c r="G650" s="63"/>
    </row>
    <row r="651" customFormat="false" ht="15.75" hidden="true" customHeight="true" outlineLevel="0" collapsed="false">
      <c r="A651" s="63" t="n">
        <v>2023</v>
      </c>
      <c r="B651" s="79" t="s">
        <v>137</v>
      </c>
      <c r="C651" s="79"/>
      <c r="D651" s="63"/>
      <c r="E651" s="63"/>
      <c r="F651" s="63"/>
      <c r="G651" s="63"/>
    </row>
    <row r="652" customFormat="false" ht="15.75" hidden="true" customHeight="true" outlineLevel="0" collapsed="false">
      <c r="A652" s="63" t="n">
        <v>2023</v>
      </c>
      <c r="B652" s="79" t="s">
        <v>137</v>
      </c>
      <c r="C652" s="79"/>
      <c r="D652" s="63"/>
      <c r="E652" s="63"/>
      <c r="F652" s="63"/>
      <c r="G652" s="63"/>
    </row>
    <row r="653" customFormat="false" ht="15.75" hidden="true" customHeight="true" outlineLevel="0" collapsed="false">
      <c r="A653" s="63" t="n">
        <v>2023</v>
      </c>
      <c r="B653" s="79" t="s">
        <v>137</v>
      </c>
      <c r="C653" s="79"/>
      <c r="D653" s="63"/>
      <c r="E653" s="63"/>
      <c r="F653" s="63"/>
      <c r="G653" s="63"/>
    </row>
    <row r="654" customFormat="false" ht="15.75" hidden="true" customHeight="true" outlineLevel="0" collapsed="false">
      <c r="A654" s="63" t="n">
        <v>2023</v>
      </c>
      <c r="B654" s="79" t="s">
        <v>137</v>
      </c>
      <c r="C654" s="79"/>
      <c r="D654" s="63"/>
      <c r="E654" s="63"/>
      <c r="F654" s="63"/>
      <c r="G654" s="63"/>
    </row>
    <row r="655" customFormat="false" ht="15.75" hidden="true" customHeight="true" outlineLevel="0" collapsed="false">
      <c r="A655" s="99" t="s">
        <v>411</v>
      </c>
      <c r="B655" s="99"/>
      <c r="C655" s="99"/>
      <c r="D655" s="99"/>
      <c r="E655" s="99"/>
      <c r="F655" s="99"/>
      <c r="G655" s="99"/>
    </row>
    <row r="656" customFormat="false" ht="15.75" hidden="true" customHeight="true" outlineLevel="0" collapsed="false">
      <c r="A656" s="63" t="n">
        <v>2023</v>
      </c>
      <c r="B656" s="79" t="s">
        <v>166</v>
      </c>
      <c r="C656" s="79"/>
      <c r="D656" s="63"/>
      <c r="E656" s="63"/>
      <c r="F656" s="63"/>
      <c r="G656" s="63"/>
    </row>
    <row r="657" customFormat="false" ht="15.75" hidden="true" customHeight="true" outlineLevel="0" collapsed="false">
      <c r="A657" s="63" t="n">
        <v>2023</v>
      </c>
      <c r="B657" s="79" t="s">
        <v>166</v>
      </c>
      <c r="C657" s="79"/>
      <c r="D657" s="63"/>
      <c r="E657" s="63"/>
      <c r="F657" s="63"/>
      <c r="G657" s="63"/>
    </row>
    <row r="658" customFormat="false" ht="15.75" hidden="true" customHeight="true" outlineLevel="0" collapsed="false">
      <c r="A658" s="63" t="n">
        <v>2023</v>
      </c>
      <c r="B658" s="79" t="s">
        <v>166</v>
      </c>
      <c r="C658" s="79"/>
      <c r="D658" s="63"/>
      <c r="E658" s="63"/>
      <c r="F658" s="63"/>
      <c r="G658" s="63"/>
    </row>
    <row r="659" customFormat="false" ht="15.75" hidden="true" customHeight="true" outlineLevel="0" collapsed="false">
      <c r="A659" s="63" t="n">
        <v>2023</v>
      </c>
      <c r="B659" s="79" t="s">
        <v>166</v>
      </c>
      <c r="C659" s="79"/>
      <c r="D659" s="63"/>
      <c r="E659" s="63"/>
      <c r="F659" s="63"/>
      <c r="G659" s="63"/>
    </row>
    <row r="660" customFormat="false" ht="15.75" hidden="true" customHeight="true" outlineLevel="0" collapsed="false">
      <c r="A660" s="63" t="n">
        <v>2023</v>
      </c>
      <c r="B660" s="79" t="s">
        <v>166</v>
      </c>
      <c r="C660" s="79"/>
      <c r="D660" s="63"/>
      <c r="E660" s="63"/>
      <c r="F660" s="63"/>
      <c r="G660" s="63"/>
    </row>
    <row r="661" customFormat="false" ht="15.75" hidden="true" customHeight="true" outlineLevel="0" collapsed="false">
      <c r="A661" s="63" t="n">
        <v>2023</v>
      </c>
      <c r="B661" s="79" t="s">
        <v>166</v>
      </c>
      <c r="C661" s="79"/>
      <c r="D661" s="63"/>
      <c r="E661" s="63"/>
      <c r="F661" s="63"/>
      <c r="G661" s="63"/>
    </row>
    <row r="662" customFormat="false" ht="15.75" hidden="true" customHeight="true" outlineLevel="0" collapsed="false">
      <c r="A662" s="63" t="n">
        <v>2023</v>
      </c>
      <c r="B662" s="79" t="s">
        <v>166</v>
      </c>
      <c r="C662" s="79"/>
      <c r="D662" s="63"/>
      <c r="E662" s="63"/>
      <c r="F662" s="63"/>
      <c r="G662" s="63"/>
    </row>
    <row r="663" customFormat="false" ht="15.75" hidden="true" customHeight="true" outlineLevel="0" collapsed="false">
      <c r="A663" s="63" t="n">
        <v>2023</v>
      </c>
      <c r="B663" s="79" t="s">
        <v>166</v>
      </c>
      <c r="C663" s="79"/>
      <c r="D663" s="63"/>
      <c r="E663" s="63"/>
      <c r="F663" s="63"/>
      <c r="G663" s="63"/>
    </row>
    <row r="664" customFormat="false" ht="15.75" hidden="true" customHeight="true" outlineLevel="0" collapsed="false">
      <c r="A664" s="63" t="n">
        <v>2023</v>
      </c>
      <c r="B664" s="79" t="s">
        <v>166</v>
      </c>
      <c r="C664" s="79"/>
      <c r="D664" s="63"/>
      <c r="E664" s="63"/>
      <c r="F664" s="63"/>
      <c r="G664" s="63"/>
    </row>
    <row r="665" customFormat="false" ht="15.75" hidden="true" customHeight="true" outlineLevel="0" collapsed="false">
      <c r="A665" s="63" t="n">
        <v>2023</v>
      </c>
      <c r="B665" s="79" t="s">
        <v>166</v>
      </c>
      <c r="C665" s="79"/>
      <c r="D665" s="63"/>
      <c r="E665" s="63"/>
      <c r="F665" s="63"/>
      <c r="G665" s="63"/>
    </row>
    <row r="666" customFormat="false" ht="15.75" hidden="true" customHeight="true" outlineLevel="0" collapsed="false">
      <c r="A666" s="63" t="n">
        <v>2023</v>
      </c>
      <c r="B666" s="79" t="s">
        <v>166</v>
      </c>
      <c r="C666" s="79"/>
      <c r="D666" s="63"/>
      <c r="E666" s="63"/>
      <c r="F666" s="63"/>
      <c r="G666" s="63"/>
    </row>
    <row r="667" customFormat="false" ht="15.75" hidden="true" customHeight="true" outlineLevel="0" collapsed="false">
      <c r="A667" s="63" t="n">
        <v>2023</v>
      </c>
      <c r="B667" s="79" t="s">
        <v>166</v>
      </c>
      <c r="C667" s="79"/>
      <c r="D667" s="63"/>
      <c r="E667" s="63"/>
      <c r="F667" s="63"/>
      <c r="G667" s="63"/>
    </row>
    <row r="668" customFormat="false" ht="15.75" hidden="true" customHeight="true" outlineLevel="0" collapsed="false">
      <c r="A668" s="63" t="n">
        <v>2023</v>
      </c>
      <c r="B668" s="79" t="s">
        <v>166</v>
      </c>
      <c r="C668" s="79"/>
      <c r="D668" s="63"/>
      <c r="E668" s="63"/>
      <c r="F668" s="63"/>
      <c r="G668" s="63"/>
    </row>
    <row r="669" customFormat="false" ht="15.75" hidden="true" customHeight="true" outlineLevel="0" collapsed="false">
      <c r="A669" s="63" t="n">
        <v>2023</v>
      </c>
      <c r="B669" s="79" t="s">
        <v>166</v>
      </c>
      <c r="C669" s="79"/>
      <c r="D669" s="63"/>
      <c r="E669" s="63"/>
      <c r="F669" s="63"/>
      <c r="G669" s="63"/>
    </row>
    <row r="670" customFormat="false" ht="15.75" hidden="true" customHeight="true" outlineLevel="0" collapsed="false">
      <c r="A670" s="63" t="n">
        <v>2023</v>
      </c>
      <c r="B670" s="79" t="s">
        <v>166</v>
      </c>
      <c r="C670" s="79"/>
      <c r="D670" s="63"/>
      <c r="E670" s="63"/>
      <c r="F670" s="63"/>
      <c r="G670" s="63"/>
    </row>
    <row r="671" customFormat="false" ht="15.75" hidden="true" customHeight="true" outlineLevel="0" collapsed="false">
      <c r="A671" s="63" t="n">
        <v>2023</v>
      </c>
      <c r="B671" s="79" t="s">
        <v>166</v>
      </c>
      <c r="C671" s="79"/>
      <c r="D671" s="63"/>
      <c r="E671" s="63"/>
      <c r="F671" s="63"/>
      <c r="G671" s="63"/>
    </row>
    <row r="672" customFormat="false" ht="15.75" hidden="true" customHeight="true" outlineLevel="0" collapsed="false">
      <c r="A672" s="63" t="n">
        <v>2023</v>
      </c>
      <c r="B672" s="79" t="s">
        <v>166</v>
      </c>
      <c r="C672" s="79"/>
      <c r="D672" s="63"/>
      <c r="E672" s="63"/>
      <c r="F672" s="63"/>
      <c r="G672" s="63"/>
    </row>
    <row r="673" customFormat="false" ht="15.75" hidden="true" customHeight="true" outlineLevel="0" collapsed="false">
      <c r="A673" s="63" t="n">
        <v>2023</v>
      </c>
      <c r="B673" s="79" t="s">
        <v>166</v>
      </c>
      <c r="C673" s="79"/>
      <c r="D673" s="63"/>
      <c r="E673" s="63"/>
      <c r="F673" s="63"/>
      <c r="G673" s="63"/>
    </row>
    <row r="674" customFormat="false" ht="15.75" hidden="true" customHeight="true" outlineLevel="0" collapsed="false">
      <c r="A674" s="63" t="n">
        <v>2023</v>
      </c>
      <c r="B674" s="79" t="s">
        <v>166</v>
      </c>
      <c r="C674" s="79"/>
      <c r="D674" s="63"/>
      <c r="E674" s="63"/>
      <c r="F674" s="63"/>
      <c r="G674" s="63"/>
    </row>
    <row r="675" customFormat="false" ht="15.75" hidden="true" customHeight="true" outlineLevel="0" collapsed="false">
      <c r="A675" s="63" t="n">
        <v>2023</v>
      </c>
      <c r="B675" s="79" t="s">
        <v>166</v>
      </c>
      <c r="C675" s="79"/>
      <c r="D675" s="63"/>
      <c r="E675" s="63"/>
      <c r="F675" s="63"/>
      <c r="G675" s="63"/>
    </row>
    <row r="676" customFormat="false" ht="15.75" hidden="true" customHeight="true" outlineLevel="0" collapsed="false">
      <c r="A676" s="99" t="s">
        <v>412</v>
      </c>
      <c r="B676" s="99"/>
      <c r="C676" s="99"/>
      <c r="D676" s="99"/>
      <c r="E676" s="99"/>
      <c r="F676" s="99"/>
      <c r="G676" s="99"/>
    </row>
    <row r="677" customFormat="false" ht="15.75" hidden="true" customHeight="true" outlineLevel="0" collapsed="false">
      <c r="A677" s="63" t="n">
        <v>2023</v>
      </c>
      <c r="B677" s="79" t="s">
        <v>334</v>
      </c>
      <c r="C677" s="79"/>
      <c r="D677" s="63"/>
      <c r="E677" s="63"/>
      <c r="F677" s="63"/>
      <c r="G677" s="63"/>
    </row>
    <row r="678" customFormat="false" ht="15.75" hidden="true" customHeight="true" outlineLevel="0" collapsed="false">
      <c r="A678" s="63" t="n">
        <v>2023</v>
      </c>
      <c r="B678" s="79" t="s">
        <v>334</v>
      </c>
      <c r="C678" s="79"/>
      <c r="D678" s="63"/>
      <c r="E678" s="63"/>
      <c r="F678" s="63"/>
      <c r="G678" s="63"/>
    </row>
    <row r="679" customFormat="false" ht="15.75" hidden="true" customHeight="true" outlineLevel="0" collapsed="false">
      <c r="A679" s="63" t="n">
        <v>2023</v>
      </c>
      <c r="B679" s="79" t="s">
        <v>334</v>
      </c>
      <c r="C679" s="79"/>
      <c r="D679" s="63"/>
      <c r="E679" s="63"/>
      <c r="F679" s="63"/>
      <c r="G679" s="63"/>
    </row>
    <row r="680" customFormat="false" ht="15.75" hidden="true" customHeight="true" outlineLevel="0" collapsed="false">
      <c r="A680" s="63" t="n">
        <v>2023</v>
      </c>
      <c r="B680" s="79" t="s">
        <v>334</v>
      </c>
      <c r="C680" s="79"/>
      <c r="D680" s="63"/>
      <c r="E680" s="63"/>
      <c r="F680" s="63"/>
      <c r="G680" s="63"/>
    </row>
    <row r="681" customFormat="false" ht="15.75" hidden="true" customHeight="true" outlineLevel="0" collapsed="false">
      <c r="A681" s="63" t="n">
        <v>2023</v>
      </c>
      <c r="B681" s="79" t="s">
        <v>334</v>
      </c>
      <c r="C681" s="79"/>
      <c r="D681" s="63"/>
      <c r="E681" s="63"/>
      <c r="F681" s="63"/>
      <c r="G681" s="63"/>
    </row>
    <row r="682" customFormat="false" ht="15.75" hidden="true" customHeight="true" outlineLevel="0" collapsed="false">
      <c r="A682" s="63" t="n">
        <v>2023</v>
      </c>
      <c r="B682" s="79" t="s">
        <v>334</v>
      </c>
      <c r="C682" s="79"/>
      <c r="D682" s="63"/>
      <c r="E682" s="63"/>
      <c r="F682" s="63"/>
      <c r="G682" s="63"/>
    </row>
    <row r="683" customFormat="false" ht="15.75" hidden="true" customHeight="true" outlineLevel="0" collapsed="false">
      <c r="A683" s="63" t="n">
        <v>2023</v>
      </c>
      <c r="B683" s="79" t="s">
        <v>334</v>
      </c>
      <c r="C683" s="79"/>
      <c r="D683" s="63"/>
      <c r="E683" s="63"/>
      <c r="F683" s="63"/>
      <c r="G683" s="63"/>
    </row>
    <row r="684" customFormat="false" ht="15.75" hidden="true" customHeight="true" outlineLevel="0" collapsed="false">
      <c r="A684" s="63" t="n">
        <v>2023</v>
      </c>
      <c r="B684" s="79" t="s">
        <v>334</v>
      </c>
      <c r="C684" s="79"/>
      <c r="D684" s="63"/>
      <c r="E684" s="63"/>
      <c r="F684" s="63"/>
      <c r="G684" s="63"/>
    </row>
    <row r="685" customFormat="false" ht="15.75" hidden="true" customHeight="true" outlineLevel="0" collapsed="false">
      <c r="A685" s="63" t="n">
        <v>2023</v>
      </c>
      <c r="B685" s="79" t="s">
        <v>334</v>
      </c>
      <c r="C685" s="79"/>
      <c r="D685" s="63"/>
      <c r="E685" s="63"/>
      <c r="F685" s="63"/>
      <c r="G685" s="63"/>
    </row>
    <row r="686" customFormat="false" ht="15.75" hidden="true" customHeight="true" outlineLevel="0" collapsed="false">
      <c r="A686" s="63" t="n">
        <v>2023</v>
      </c>
      <c r="B686" s="79" t="s">
        <v>334</v>
      </c>
      <c r="C686" s="79"/>
      <c r="D686" s="63"/>
      <c r="E686" s="63"/>
      <c r="F686" s="63"/>
      <c r="G686" s="63"/>
    </row>
    <row r="687" customFormat="false" ht="15.75" hidden="true" customHeight="true" outlineLevel="0" collapsed="false">
      <c r="A687" s="63" t="n">
        <v>2023</v>
      </c>
      <c r="B687" s="79" t="s">
        <v>334</v>
      </c>
      <c r="C687" s="79"/>
      <c r="D687" s="63"/>
      <c r="E687" s="63"/>
      <c r="F687" s="63"/>
      <c r="G687" s="63"/>
    </row>
    <row r="688" customFormat="false" ht="15.75" hidden="true" customHeight="true" outlineLevel="0" collapsed="false">
      <c r="A688" s="63" t="n">
        <v>2023</v>
      </c>
      <c r="B688" s="79" t="s">
        <v>334</v>
      </c>
      <c r="C688" s="79"/>
      <c r="D688" s="63"/>
      <c r="E688" s="63"/>
      <c r="F688" s="63"/>
      <c r="G688" s="63"/>
    </row>
    <row r="689" customFormat="false" ht="15.75" hidden="true" customHeight="true" outlineLevel="0" collapsed="false">
      <c r="A689" s="63" t="n">
        <v>2023</v>
      </c>
      <c r="B689" s="79" t="s">
        <v>334</v>
      </c>
      <c r="C689" s="79"/>
      <c r="D689" s="63"/>
      <c r="E689" s="63"/>
      <c r="F689" s="63"/>
      <c r="G689" s="63"/>
    </row>
    <row r="690" customFormat="false" ht="15.75" hidden="true" customHeight="true" outlineLevel="0" collapsed="false">
      <c r="A690" s="63" t="n">
        <v>2023</v>
      </c>
      <c r="B690" s="79" t="s">
        <v>334</v>
      </c>
      <c r="C690" s="79"/>
      <c r="D690" s="63"/>
      <c r="E690" s="63"/>
      <c r="F690" s="63"/>
      <c r="G690" s="63"/>
    </row>
    <row r="691" customFormat="false" ht="15.75" hidden="true" customHeight="true" outlineLevel="0" collapsed="false">
      <c r="A691" s="63" t="n">
        <v>2023</v>
      </c>
      <c r="B691" s="79" t="s">
        <v>334</v>
      </c>
      <c r="C691" s="79"/>
      <c r="D691" s="63"/>
      <c r="E691" s="63"/>
      <c r="F691" s="63"/>
      <c r="G691" s="63"/>
    </row>
    <row r="692" customFormat="false" ht="15.75" hidden="true" customHeight="true" outlineLevel="0" collapsed="false">
      <c r="A692" s="63" t="n">
        <v>2023</v>
      </c>
      <c r="B692" s="79" t="s">
        <v>334</v>
      </c>
      <c r="C692" s="79"/>
      <c r="D692" s="63"/>
      <c r="E692" s="63"/>
      <c r="F692" s="63"/>
      <c r="G692" s="63"/>
    </row>
    <row r="693" customFormat="false" ht="15.75" hidden="true" customHeight="true" outlineLevel="0" collapsed="false">
      <c r="A693" s="63" t="n">
        <v>2023</v>
      </c>
      <c r="B693" s="79" t="s">
        <v>334</v>
      </c>
      <c r="C693" s="79"/>
      <c r="D693" s="63"/>
      <c r="E693" s="63"/>
      <c r="F693" s="63"/>
      <c r="G693" s="63"/>
    </row>
    <row r="694" customFormat="false" ht="15.75" hidden="true" customHeight="true" outlineLevel="0" collapsed="false">
      <c r="A694" s="63" t="n">
        <v>2023</v>
      </c>
      <c r="B694" s="79" t="s">
        <v>334</v>
      </c>
      <c r="C694" s="79"/>
      <c r="D694" s="63"/>
      <c r="E694" s="63"/>
      <c r="F694" s="63"/>
      <c r="G694" s="63"/>
    </row>
    <row r="695" customFormat="false" ht="15.75" hidden="true" customHeight="true" outlineLevel="0" collapsed="false">
      <c r="A695" s="63" t="n">
        <v>2023</v>
      </c>
      <c r="B695" s="79" t="s">
        <v>334</v>
      </c>
      <c r="C695" s="79"/>
      <c r="D695" s="63"/>
      <c r="E695" s="63"/>
      <c r="F695" s="63"/>
      <c r="G695" s="63"/>
    </row>
    <row r="696" customFormat="false" ht="15.75" hidden="true" customHeight="true" outlineLevel="0" collapsed="false">
      <c r="A696" s="63" t="n">
        <v>2023</v>
      </c>
      <c r="B696" s="79" t="s">
        <v>334</v>
      </c>
      <c r="C696" s="79"/>
      <c r="D696" s="63"/>
      <c r="E696" s="63"/>
      <c r="F696" s="63"/>
      <c r="G696" s="63"/>
    </row>
    <row r="697" customFormat="false" ht="15.75" hidden="true" customHeight="true" outlineLevel="0" collapsed="false">
      <c r="A697" s="99" t="s">
        <v>413</v>
      </c>
      <c r="B697" s="99"/>
      <c r="C697" s="99"/>
      <c r="D697" s="99"/>
      <c r="E697" s="99"/>
      <c r="F697" s="99"/>
      <c r="G697" s="99"/>
    </row>
    <row r="698" customFormat="false" ht="15.75" hidden="true" customHeight="true" outlineLevel="0" collapsed="false">
      <c r="A698" s="63" t="n">
        <v>2023</v>
      </c>
      <c r="B698" s="79" t="s">
        <v>218</v>
      </c>
      <c r="C698" s="79"/>
      <c r="D698" s="63"/>
      <c r="E698" s="63"/>
      <c r="F698" s="63"/>
      <c r="G698" s="63"/>
    </row>
    <row r="699" customFormat="false" ht="15.75" hidden="true" customHeight="true" outlineLevel="0" collapsed="false">
      <c r="A699" s="63" t="n">
        <v>2023</v>
      </c>
      <c r="B699" s="79" t="s">
        <v>218</v>
      </c>
      <c r="C699" s="79"/>
      <c r="D699" s="63"/>
      <c r="E699" s="63"/>
      <c r="F699" s="63"/>
      <c r="G699" s="63"/>
    </row>
    <row r="700" customFormat="false" ht="15.75" hidden="true" customHeight="true" outlineLevel="0" collapsed="false">
      <c r="A700" s="63" t="n">
        <v>2023</v>
      </c>
      <c r="B700" s="79" t="s">
        <v>218</v>
      </c>
      <c r="C700" s="79"/>
      <c r="D700" s="63"/>
      <c r="E700" s="63"/>
      <c r="F700" s="63"/>
      <c r="G700" s="63"/>
    </row>
    <row r="701" customFormat="false" ht="15.75" hidden="true" customHeight="true" outlineLevel="0" collapsed="false">
      <c r="A701" s="63" t="n">
        <v>2023</v>
      </c>
      <c r="B701" s="79" t="s">
        <v>218</v>
      </c>
      <c r="C701" s="79"/>
      <c r="D701" s="63"/>
      <c r="E701" s="63"/>
      <c r="F701" s="63"/>
      <c r="G701" s="63"/>
    </row>
    <row r="702" customFormat="false" ht="15.75" hidden="true" customHeight="true" outlineLevel="0" collapsed="false">
      <c r="A702" s="63" t="n">
        <v>2023</v>
      </c>
      <c r="B702" s="79" t="s">
        <v>218</v>
      </c>
      <c r="C702" s="79"/>
      <c r="D702" s="63"/>
      <c r="E702" s="63"/>
      <c r="F702" s="63"/>
      <c r="G702" s="63"/>
    </row>
    <row r="703" customFormat="false" ht="15.75" hidden="true" customHeight="true" outlineLevel="0" collapsed="false">
      <c r="A703" s="63" t="n">
        <v>2023</v>
      </c>
      <c r="B703" s="79" t="s">
        <v>218</v>
      </c>
      <c r="C703" s="79"/>
      <c r="D703" s="63"/>
      <c r="E703" s="63"/>
      <c r="F703" s="63"/>
      <c r="G703" s="63"/>
    </row>
    <row r="704" customFormat="false" ht="15.75" hidden="true" customHeight="true" outlineLevel="0" collapsed="false">
      <c r="A704" s="63" t="n">
        <v>2023</v>
      </c>
      <c r="B704" s="79" t="s">
        <v>218</v>
      </c>
      <c r="C704" s="79"/>
      <c r="D704" s="63"/>
      <c r="E704" s="63"/>
      <c r="F704" s="63"/>
      <c r="G704" s="63"/>
    </row>
    <row r="705" customFormat="false" ht="15.75" hidden="true" customHeight="true" outlineLevel="0" collapsed="false">
      <c r="A705" s="63" t="n">
        <v>2023</v>
      </c>
      <c r="B705" s="79" t="s">
        <v>218</v>
      </c>
      <c r="C705" s="79"/>
      <c r="D705" s="63"/>
      <c r="E705" s="63"/>
      <c r="F705" s="63"/>
      <c r="G705" s="63"/>
    </row>
    <row r="706" customFormat="false" ht="15.75" hidden="true" customHeight="true" outlineLevel="0" collapsed="false">
      <c r="A706" s="63" t="n">
        <v>2023</v>
      </c>
      <c r="B706" s="79" t="s">
        <v>218</v>
      </c>
      <c r="C706" s="79"/>
      <c r="D706" s="63"/>
      <c r="E706" s="63"/>
      <c r="F706" s="63"/>
      <c r="G706" s="63"/>
    </row>
    <row r="707" customFormat="false" ht="15.75" hidden="true" customHeight="true" outlineLevel="0" collapsed="false">
      <c r="A707" s="63" t="n">
        <v>2023</v>
      </c>
      <c r="B707" s="79" t="s">
        <v>218</v>
      </c>
      <c r="C707" s="79"/>
      <c r="D707" s="63"/>
      <c r="E707" s="63"/>
      <c r="F707" s="63"/>
      <c r="G707" s="63"/>
    </row>
    <row r="708" customFormat="false" ht="15.75" hidden="true" customHeight="true" outlineLevel="0" collapsed="false">
      <c r="A708" s="63" t="n">
        <v>2023</v>
      </c>
      <c r="B708" s="79" t="s">
        <v>218</v>
      </c>
      <c r="C708" s="79"/>
      <c r="D708" s="63"/>
      <c r="E708" s="63"/>
      <c r="F708" s="63"/>
      <c r="G708" s="63"/>
    </row>
    <row r="709" customFormat="false" ht="15.75" hidden="true" customHeight="true" outlineLevel="0" collapsed="false">
      <c r="A709" s="63" t="n">
        <v>2023</v>
      </c>
      <c r="B709" s="79" t="s">
        <v>218</v>
      </c>
      <c r="C709" s="79"/>
      <c r="D709" s="63"/>
      <c r="E709" s="63"/>
      <c r="F709" s="63"/>
      <c r="G709" s="63"/>
    </row>
    <row r="710" customFormat="false" ht="15.75" hidden="true" customHeight="true" outlineLevel="0" collapsed="false">
      <c r="A710" s="63" t="n">
        <v>2023</v>
      </c>
      <c r="B710" s="79" t="s">
        <v>218</v>
      </c>
      <c r="C710" s="79"/>
      <c r="D710" s="63"/>
      <c r="E710" s="63"/>
      <c r="F710" s="63"/>
      <c r="G710" s="63"/>
    </row>
    <row r="711" customFormat="false" ht="15.75" hidden="true" customHeight="true" outlineLevel="0" collapsed="false">
      <c r="A711" s="63" t="n">
        <v>2023</v>
      </c>
      <c r="B711" s="79" t="s">
        <v>218</v>
      </c>
      <c r="C711" s="79"/>
      <c r="D711" s="63"/>
      <c r="E711" s="63"/>
      <c r="F711" s="63"/>
      <c r="G711" s="63"/>
    </row>
    <row r="712" customFormat="false" ht="15.75" hidden="true" customHeight="true" outlineLevel="0" collapsed="false">
      <c r="A712" s="63" t="n">
        <v>2023</v>
      </c>
      <c r="B712" s="79" t="s">
        <v>218</v>
      </c>
      <c r="C712" s="79"/>
      <c r="D712" s="63"/>
      <c r="E712" s="63"/>
      <c r="F712" s="63"/>
      <c r="G712" s="63"/>
    </row>
    <row r="713" customFormat="false" ht="15.75" hidden="true" customHeight="true" outlineLevel="0" collapsed="false">
      <c r="A713" s="63" t="n">
        <v>2023</v>
      </c>
      <c r="B713" s="79" t="s">
        <v>218</v>
      </c>
      <c r="C713" s="79"/>
      <c r="D713" s="63"/>
      <c r="E713" s="63"/>
      <c r="F713" s="63"/>
      <c r="G713" s="63"/>
    </row>
    <row r="714" customFormat="false" ht="15.75" hidden="true" customHeight="true" outlineLevel="0" collapsed="false">
      <c r="A714" s="63" t="n">
        <v>2023</v>
      </c>
      <c r="B714" s="79" t="s">
        <v>218</v>
      </c>
      <c r="C714" s="79"/>
      <c r="D714" s="63"/>
      <c r="E714" s="63"/>
      <c r="F714" s="63"/>
      <c r="G714" s="63"/>
    </row>
    <row r="715" customFormat="false" ht="15.75" hidden="true" customHeight="true" outlineLevel="0" collapsed="false">
      <c r="A715" s="63" t="n">
        <v>2023</v>
      </c>
      <c r="B715" s="79" t="s">
        <v>218</v>
      </c>
      <c r="C715" s="79"/>
      <c r="D715" s="63"/>
      <c r="E715" s="63"/>
      <c r="F715" s="63"/>
      <c r="G715" s="63"/>
    </row>
    <row r="716" customFormat="false" ht="15.75" hidden="true" customHeight="true" outlineLevel="0" collapsed="false">
      <c r="A716" s="63" t="n">
        <v>2023</v>
      </c>
      <c r="B716" s="79" t="s">
        <v>218</v>
      </c>
      <c r="C716" s="79"/>
      <c r="D716" s="63"/>
      <c r="E716" s="63"/>
      <c r="F716" s="63"/>
      <c r="G716" s="63"/>
    </row>
    <row r="717" customFormat="false" ht="15.75" hidden="true" customHeight="true" outlineLevel="0" collapsed="false">
      <c r="A717" s="63" t="n">
        <v>2023</v>
      </c>
      <c r="B717" s="79" t="s">
        <v>218</v>
      </c>
      <c r="C717" s="79"/>
      <c r="D717" s="63"/>
      <c r="E717" s="63"/>
      <c r="F717" s="63"/>
      <c r="G717" s="63"/>
    </row>
    <row r="718" customFormat="false" ht="15.75" hidden="true" customHeight="true" outlineLevel="0" collapsed="false">
      <c r="A718" s="99" t="s">
        <v>414</v>
      </c>
      <c r="B718" s="99"/>
      <c r="C718" s="99"/>
      <c r="D718" s="99"/>
      <c r="E718" s="99"/>
      <c r="F718" s="99"/>
      <c r="G718" s="99"/>
    </row>
    <row r="719" customFormat="false" ht="15.75" hidden="true" customHeight="true" outlineLevel="0" collapsed="false">
      <c r="A719" s="63" t="n">
        <v>2023</v>
      </c>
      <c r="B719" s="79" t="s">
        <v>244</v>
      </c>
      <c r="C719" s="79"/>
      <c r="D719" s="63"/>
      <c r="E719" s="63"/>
      <c r="F719" s="63"/>
      <c r="G719" s="63"/>
    </row>
    <row r="720" customFormat="false" ht="15.75" hidden="true" customHeight="true" outlineLevel="0" collapsed="false">
      <c r="A720" s="63" t="n">
        <v>2023</v>
      </c>
      <c r="B720" s="79" t="s">
        <v>244</v>
      </c>
      <c r="C720" s="79"/>
      <c r="D720" s="63"/>
      <c r="E720" s="63"/>
      <c r="F720" s="63"/>
      <c r="G720" s="63"/>
    </row>
    <row r="721" customFormat="false" ht="15.75" hidden="true" customHeight="true" outlineLevel="0" collapsed="false">
      <c r="A721" s="63" t="n">
        <v>2023</v>
      </c>
      <c r="B721" s="79" t="s">
        <v>244</v>
      </c>
      <c r="C721" s="79"/>
      <c r="D721" s="63"/>
      <c r="E721" s="63"/>
      <c r="F721" s="63"/>
      <c r="G721" s="63"/>
    </row>
    <row r="722" customFormat="false" ht="15.75" hidden="true" customHeight="true" outlineLevel="0" collapsed="false">
      <c r="A722" s="63" t="n">
        <v>2023</v>
      </c>
      <c r="B722" s="79" t="s">
        <v>244</v>
      </c>
      <c r="C722" s="79"/>
      <c r="D722" s="63"/>
      <c r="E722" s="63"/>
      <c r="F722" s="63"/>
      <c r="G722" s="63"/>
    </row>
    <row r="723" customFormat="false" ht="15.75" hidden="true" customHeight="true" outlineLevel="0" collapsed="false">
      <c r="A723" s="63" t="n">
        <v>2023</v>
      </c>
      <c r="B723" s="79" t="s">
        <v>244</v>
      </c>
      <c r="C723" s="79"/>
      <c r="D723" s="63"/>
      <c r="E723" s="63"/>
      <c r="F723" s="63"/>
      <c r="G723" s="63"/>
    </row>
    <row r="724" customFormat="false" ht="15.75" hidden="true" customHeight="true" outlineLevel="0" collapsed="false">
      <c r="A724" s="63" t="n">
        <v>2023</v>
      </c>
      <c r="B724" s="79" t="s">
        <v>244</v>
      </c>
      <c r="C724" s="79"/>
      <c r="D724" s="63"/>
      <c r="E724" s="63"/>
      <c r="F724" s="63"/>
      <c r="G724" s="63"/>
    </row>
    <row r="725" customFormat="false" ht="15.75" hidden="true" customHeight="true" outlineLevel="0" collapsed="false">
      <c r="A725" s="63" t="n">
        <v>2023</v>
      </c>
      <c r="B725" s="79" t="s">
        <v>244</v>
      </c>
      <c r="C725" s="79"/>
      <c r="D725" s="63"/>
      <c r="E725" s="63"/>
      <c r="F725" s="63"/>
      <c r="G725" s="63"/>
    </row>
    <row r="726" customFormat="false" ht="15.75" hidden="true" customHeight="true" outlineLevel="0" collapsed="false">
      <c r="A726" s="63" t="n">
        <v>2023</v>
      </c>
      <c r="B726" s="79" t="s">
        <v>244</v>
      </c>
      <c r="C726" s="79"/>
      <c r="D726" s="63"/>
      <c r="E726" s="63"/>
      <c r="F726" s="63"/>
      <c r="G726" s="63"/>
    </row>
    <row r="727" customFormat="false" ht="15.75" hidden="true" customHeight="true" outlineLevel="0" collapsed="false">
      <c r="A727" s="63" t="n">
        <v>2023</v>
      </c>
      <c r="B727" s="79" t="s">
        <v>244</v>
      </c>
      <c r="C727" s="79"/>
      <c r="D727" s="63"/>
      <c r="E727" s="63"/>
      <c r="F727" s="63"/>
      <c r="G727" s="63"/>
    </row>
    <row r="728" customFormat="false" ht="15.75" hidden="true" customHeight="true" outlineLevel="0" collapsed="false">
      <c r="A728" s="63" t="n">
        <v>2023</v>
      </c>
      <c r="B728" s="79" t="s">
        <v>244</v>
      </c>
      <c r="C728" s="79"/>
      <c r="D728" s="63"/>
      <c r="E728" s="63"/>
      <c r="F728" s="63"/>
      <c r="G728" s="63"/>
    </row>
    <row r="729" customFormat="false" ht="15.75" hidden="true" customHeight="true" outlineLevel="0" collapsed="false">
      <c r="A729" s="63" t="n">
        <v>2023</v>
      </c>
      <c r="B729" s="79" t="s">
        <v>244</v>
      </c>
      <c r="C729" s="79"/>
      <c r="D729" s="63"/>
      <c r="E729" s="63"/>
      <c r="F729" s="63"/>
      <c r="G729" s="63"/>
    </row>
    <row r="730" customFormat="false" ht="15.75" hidden="true" customHeight="true" outlineLevel="0" collapsed="false">
      <c r="A730" s="63" t="n">
        <v>2023</v>
      </c>
      <c r="B730" s="79" t="s">
        <v>244</v>
      </c>
      <c r="C730" s="79"/>
      <c r="D730" s="63"/>
      <c r="E730" s="63"/>
      <c r="F730" s="63"/>
      <c r="G730" s="63"/>
    </row>
    <row r="731" customFormat="false" ht="15.75" hidden="true" customHeight="true" outlineLevel="0" collapsed="false">
      <c r="A731" s="63" t="n">
        <v>2023</v>
      </c>
      <c r="B731" s="79" t="s">
        <v>244</v>
      </c>
      <c r="C731" s="79"/>
      <c r="D731" s="63"/>
      <c r="E731" s="63"/>
      <c r="F731" s="63"/>
      <c r="G731" s="63"/>
    </row>
    <row r="732" customFormat="false" ht="15.75" hidden="true" customHeight="true" outlineLevel="0" collapsed="false">
      <c r="A732" s="63" t="n">
        <v>2023</v>
      </c>
      <c r="B732" s="79" t="s">
        <v>244</v>
      </c>
      <c r="C732" s="79"/>
      <c r="D732" s="63"/>
      <c r="E732" s="63"/>
      <c r="F732" s="63"/>
      <c r="G732" s="63"/>
    </row>
    <row r="733" customFormat="false" ht="15.75" hidden="true" customHeight="true" outlineLevel="0" collapsed="false">
      <c r="A733" s="63" t="n">
        <v>2023</v>
      </c>
      <c r="B733" s="79" t="s">
        <v>244</v>
      </c>
      <c r="C733" s="79"/>
      <c r="D733" s="63"/>
      <c r="E733" s="63"/>
      <c r="F733" s="63"/>
      <c r="G733" s="63"/>
    </row>
    <row r="734" customFormat="false" ht="15.75" hidden="true" customHeight="true" outlineLevel="0" collapsed="false">
      <c r="A734" s="63" t="n">
        <v>2023</v>
      </c>
      <c r="B734" s="79" t="s">
        <v>244</v>
      </c>
      <c r="C734" s="79"/>
      <c r="D734" s="63"/>
      <c r="E734" s="63"/>
      <c r="F734" s="63"/>
      <c r="G734" s="63"/>
    </row>
    <row r="735" customFormat="false" ht="15.75" hidden="true" customHeight="true" outlineLevel="0" collapsed="false">
      <c r="A735" s="63" t="n">
        <v>2023</v>
      </c>
      <c r="B735" s="79" t="s">
        <v>244</v>
      </c>
      <c r="C735" s="79"/>
      <c r="D735" s="63"/>
      <c r="E735" s="63"/>
      <c r="F735" s="63"/>
      <c r="G735" s="63"/>
    </row>
    <row r="736" customFormat="false" ht="15.75" hidden="true" customHeight="true" outlineLevel="0" collapsed="false">
      <c r="A736" s="63" t="n">
        <v>2023</v>
      </c>
      <c r="B736" s="79" t="s">
        <v>244</v>
      </c>
      <c r="C736" s="79"/>
      <c r="D736" s="63"/>
      <c r="E736" s="63"/>
      <c r="F736" s="63"/>
      <c r="G736" s="63"/>
    </row>
    <row r="737" customFormat="false" ht="15.75" hidden="true" customHeight="true" outlineLevel="0" collapsed="false">
      <c r="A737" s="63" t="n">
        <v>2023</v>
      </c>
      <c r="B737" s="79" t="s">
        <v>244</v>
      </c>
      <c r="C737" s="79"/>
      <c r="D737" s="63"/>
      <c r="E737" s="63"/>
      <c r="F737" s="63"/>
      <c r="G737" s="63"/>
    </row>
    <row r="738" customFormat="false" ht="15.75" hidden="true" customHeight="true" outlineLevel="0" collapsed="false">
      <c r="A738" s="63" t="n">
        <v>2023</v>
      </c>
      <c r="B738" s="79" t="s">
        <v>244</v>
      </c>
      <c r="C738" s="79"/>
      <c r="D738" s="63"/>
      <c r="E738" s="63"/>
      <c r="F738" s="63"/>
      <c r="G738" s="63"/>
    </row>
    <row r="739" customFormat="false" ht="15.75" hidden="true" customHeight="true" outlineLevel="0" collapsed="false">
      <c r="A739" s="99" t="s">
        <v>415</v>
      </c>
      <c r="B739" s="99"/>
      <c r="C739" s="99"/>
      <c r="D739" s="99"/>
      <c r="E739" s="99"/>
      <c r="F739" s="99"/>
      <c r="G739" s="99"/>
    </row>
    <row r="740" customFormat="false" ht="15.75" hidden="true" customHeight="true" outlineLevel="0" collapsed="false">
      <c r="A740" s="63" t="n">
        <v>2023</v>
      </c>
      <c r="B740" s="79" t="s">
        <v>270</v>
      </c>
      <c r="C740" s="79"/>
      <c r="D740" s="63"/>
      <c r="E740" s="63"/>
      <c r="F740" s="63"/>
      <c r="G740" s="63"/>
    </row>
    <row r="741" customFormat="false" ht="15.75" hidden="true" customHeight="true" outlineLevel="0" collapsed="false">
      <c r="A741" s="63" t="n">
        <v>2023</v>
      </c>
      <c r="B741" s="79" t="s">
        <v>270</v>
      </c>
      <c r="C741" s="79"/>
      <c r="D741" s="63"/>
      <c r="E741" s="63"/>
      <c r="F741" s="63"/>
      <c r="G741" s="63"/>
    </row>
    <row r="742" customFormat="false" ht="15.75" hidden="true" customHeight="true" outlineLevel="0" collapsed="false">
      <c r="A742" s="63" t="n">
        <v>2023</v>
      </c>
      <c r="B742" s="79" t="s">
        <v>270</v>
      </c>
      <c r="C742" s="79"/>
      <c r="D742" s="63"/>
      <c r="E742" s="63"/>
      <c r="F742" s="63"/>
      <c r="G742" s="63"/>
    </row>
    <row r="743" customFormat="false" ht="15.75" hidden="true" customHeight="true" outlineLevel="0" collapsed="false">
      <c r="A743" s="63" t="n">
        <v>2023</v>
      </c>
      <c r="B743" s="79" t="s">
        <v>270</v>
      </c>
      <c r="C743" s="79"/>
      <c r="D743" s="63"/>
      <c r="E743" s="63"/>
      <c r="F743" s="63"/>
      <c r="G743" s="63"/>
    </row>
    <row r="744" customFormat="false" ht="15.75" hidden="true" customHeight="true" outlineLevel="0" collapsed="false">
      <c r="A744" s="63" t="n">
        <v>2023</v>
      </c>
      <c r="B744" s="79" t="s">
        <v>270</v>
      </c>
      <c r="C744" s="79"/>
      <c r="D744" s="63"/>
      <c r="E744" s="63"/>
      <c r="F744" s="63"/>
      <c r="G744" s="63"/>
    </row>
    <row r="745" customFormat="false" ht="15.75" hidden="true" customHeight="true" outlineLevel="0" collapsed="false">
      <c r="A745" s="63" t="n">
        <v>2023</v>
      </c>
      <c r="B745" s="79" t="s">
        <v>270</v>
      </c>
      <c r="C745" s="79"/>
      <c r="D745" s="63"/>
      <c r="E745" s="63"/>
      <c r="F745" s="63"/>
      <c r="G745" s="63"/>
    </row>
    <row r="746" customFormat="false" ht="15.75" hidden="true" customHeight="true" outlineLevel="0" collapsed="false">
      <c r="A746" s="63" t="n">
        <v>2023</v>
      </c>
      <c r="B746" s="79" t="s">
        <v>270</v>
      </c>
      <c r="C746" s="79"/>
      <c r="D746" s="63"/>
      <c r="E746" s="63"/>
      <c r="F746" s="63"/>
      <c r="G746" s="63"/>
    </row>
    <row r="747" customFormat="false" ht="15.75" hidden="true" customHeight="true" outlineLevel="0" collapsed="false">
      <c r="A747" s="63" t="n">
        <v>2023</v>
      </c>
      <c r="B747" s="79" t="s">
        <v>270</v>
      </c>
      <c r="C747" s="79"/>
      <c r="D747" s="63"/>
      <c r="E747" s="63"/>
      <c r="F747" s="63"/>
      <c r="G747" s="63"/>
    </row>
    <row r="748" customFormat="false" ht="15.75" hidden="true" customHeight="true" outlineLevel="0" collapsed="false">
      <c r="A748" s="63" t="n">
        <v>2023</v>
      </c>
      <c r="B748" s="79" t="s">
        <v>270</v>
      </c>
      <c r="C748" s="79"/>
      <c r="D748" s="63"/>
      <c r="E748" s="63"/>
      <c r="F748" s="63"/>
      <c r="G748" s="63"/>
    </row>
    <row r="749" customFormat="false" ht="15.75" hidden="true" customHeight="true" outlineLevel="0" collapsed="false">
      <c r="A749" s="63" t="n">
        <v>2023</v>
      </c>
      <c r="B749" s="79" t="s">
        <v>270</v>
      </c>
      <c r="C749" s="79"/>
      <c r="D749" s="63"/>
      <c r="E749" s="63"/>
      <c r="F749" s="63"/>
      <c r="G749" s="63"/>
    </row>
    <row r="750" customFormat="false" ht="15.75" hidden="true" customHeight="true" outlineLevel="0" collapsed="false">
      <c r="A750" s="63" t="n">
        <v>2023</v>
      </c>
      <c r="B750" s="79" t="s">
        <v>270</v>
      </c>
      <c r="C750" s="79"/>
      <c r="D750" s="63"/>
      <c r="E750" s="63"/>
      <c r="F750" s="63"/>
      <c r="G750" s="63"/>
    </row>
    <row r="751" customFormat="false" ht="15.75" hidden="true" customHeight="true" outlineLevel="0" collapsed="false">
      <c r="A751" s="63" t="n">
        <v>2023</v>
      </c>
      <c r="B751" s="79" t="s">
        <v>270</v>
      </c>
      <c r="C751" s="79"/>
      <c r="D751" s="63"/>
      <c r="E751" s="63"/>
      <c r="F751" s="63"/>
      <c r="G751" s="63"/>
    </row>
    <row r="752" customFormat="false" ht="15.75" hidden="true" customHeight="true" outlineLevel="0" collapsed="false">
      <c r="A752" s="63" t="n">
        <v>2023</v>
      </c>
      <c r="B752" s="79" t="s">
        <v>270</v>
      </c>
      <c r="C752" s="79"/>
      <c r="D752" s="63"/>
      <c r="E752" s="63"/>
      <c r="F752" s="63"/>
      <c r="G752" s="63"/>
    </row>
    <row r="753" customFormat="false" ht="15.75" hidden="true" customHeight="true" outlineLevel="0" collapsed="false">
      <c r="A753" s="63" t="n">
        <v>2023</v>
      </c>
      <c r="B753" s="79" t="s">
        <v>270</v>
      </c>
      <c r="C753" s="79"/>
      <c r="D753" s="63"/>
      <c r="E753" s="63"/>
      <c r="F753" s="63"/>
      <c r="G753" s="63"/>
    </row>
    <row r="754" customFormat="false" ht="15.75" hidden="true" customHeight="true" outlineLevel="0" collapsed="false">
      <c r="A754" s="63" t="n">
        <v>2023</v>
      </c>
      <c r="B754" s="79" t="s">
        <v>270</v>
      </c>
      <c r="C754" s="79"/>
      <c r="D754" s="63"/>
      <c r="E754" s="63"/>
      <c r="F754" s="63"/>
      <c r="G754" s="63"/>
    </row>
    <row r="755" customFormat="false" ht="15.75" hidden="true" customHeight="true" outlineLevel="0" collapsed="false">
      <c r="A755" s="63" t="n">
        <v>2023</v>
      </c>
      <c r="B755" s="79" t="s">
        <v>270</v>
      </c>
      <c r="C755" s="79"/>
      <c r="D755" s="63"/>
      <c r="E755" s="63"/>
      <c r="F755" s="63"/>
      <c r="G755" s="63"/>
    </row>
    <row r="756" customFormat="false" ht="15.75" hidden="true" customHeight="true" outlineLevel="0" collapsed="false">
      <c r="A756" s="63" t="n">
        <v>2023</v>
      </c>
      <c r="B756" s="79" t="s">
        <v>270</v>
      </c>
      <c r="C756" s="79"/>
      <c r="D756" s="63"/>
      <c r="E756" s="63"/>
      <c r="F756" s="63"/>
      <c r="G756" s="63"/>
    </row>
    <row r="757" customFormat="false" ht="15.75" hidden="true" customHeight="true" outlineLevel="0" collapsed="false">
      <c r="A757" s="63" t="n">
        <v>2023</v>
      </c>
      <c r="B757" s="79" t="s">
        <v>270</v>
      </c>
      <c r="C757" s="79"/>
      <c r="D757" s="63"/>
      <c r="E757" s="63"/>
      <c r="F757" s="63"/>
      <c r="G757" s="63"/>
    </row>
    <row r="758" customFormat="false" ht="15.75" hidden="true" customHeight="true" outlineLevel="0" collapsed="false">
      <c r="A758" s="63" t="n">
        <v>2023</v>
      </c>
      <c r="B758" s="79" t="s">
        <v>270</v>
      </c>
      <c r="C758" s="79"/>
      <c r="D758" s="63"/>
      <c r="E758" s="63"/>
      <c r="F758" s="63"/>
      <c r="G758" s="63"/>
    </row>
    <row r="759" customFormat="false" ht="15.75" hidden="true" customHeight="true" outlineLevel="0" collapsed="false">
      <c r="A759" s="63" t="n">
        <v>2023</v>
      </c>
      <c r="B759" s="79" t="s">
        <v>270</v>
      </c>
      <c r="C759" s="79"/>
      <c r="D759" s="63"/>
      <c r="E759" s="63"/>
      <c r="F759" s="63"/>
      <c r="G759" s="63"/>
    </row>
    <row r="760" customFormat="false" ht="15.75" hidden="true" customHeight="true" outlineLevel="0" collapsed="false">
      <c r="A760" s="99" t="s">
        <v>416</v>
      </c>
      <c r="B760" s="99"/>
      <c r="C760" s="99"/>
      <c r="D760" s="99"/>
      <c r="E760" s="99"/>
      <c r="F760" s="99"/>
      <c r="G760" s="99"/>
    </row>
    <row r="761" customFormat="false" ht="15.75" hidden="true" customHeight="true" outlineLevel="0" collapsed="false">
      <c r="A761" s="63" t="n">
        <v>2024</v>
      </c>
      <c r="B761" s="79" t="s">
        <v>330</v>
      </c>
      <c r="C761" s="79"/>
      <c r="D761" s="63"/>
      <c r="E761" s="63"/>
      <c r="F761" s="63"/>
      <c r="G761" s="63"/>
    </row>
    <row r="762" customFormat="false" ht="15.75" hidden="true" customHeight="true" outlineLevel="0" collapsed="false">
      <c r="A762" s="63" t="n">
        <v>2024</v>
      </c>
      <c r="B762" s="79" t="s">
        <v>330</v>
      </c>
      <c r="C762" s="79"/>
      <c r="D762" s="63"/>
      <c r="E762" s="63"/>
      <c r="F762" s="63"/>
      <c r="G762" s="63"/>
    </row>
    <row r="763" customFormat="false" ht="15.75" hidden="true" customHeight="true" outlineLevel="0" collapsed="false">
      <c r="A763" s="63" t="n">
        <v>2024</v>
      </c>
      <c r="B763" s="79" t="s">
        <v>330</v>
      </c>
      <c r="C763" s="79"/>
      <c r="D763" s="63"/>
      <c r="E763" s="63"/>
      <c r="F763" s="63"/>
      <c r="G763" s="63"/>
    </row>
    <row r="764" customFormat="false" ht="15.75" hidden="true" customHeight="true" outlineLevel="0" collapsed="false">
      <c r="A764" s="63" t="n">
        <v>2024</v>
      </c>
      <c r="B764" s="79" t="s">
        <v>330</v>
      </c>
      <c r="C764" s="79"/>
      <c r="D764" s="63"/>
      <c r="E764" s="63"/>
      <c r="F764" s="63"/>
      <c r="G764" s="63"/>
    </row>
    <row r="765" customFormat="false" ht="15.75" hidden="true" customHeight="true" outlineLevel="0" collapsed="false">
      <c r="A765" s="63" t="n">
        <v>2024</v>
      </c>
      <c r="B765" s="79" t="s">
        <v>330</v>
      </c>
      <c r="C765" s="79"/>
      <c r="D765" s="63"/>
      <c r="E765" s="63"/>
      <c r="F765" s="63"/>
      <c r="G765" s="63"/>
    </row>
    <row r="766" customFormat="false" ht="15.75" hidden="true" customHeight="true" outlineLevel="0" collapsed="false">
      <c r="A766" s="63" t="n">
        <v>2024</v>
      </c>
      <c r="B766" s="79" t="s">
        <v>330</v>
      </c>
      <c r="C766" s="79"/>
      <c r="D766" s="63"/>
      <c r="E766" s="63"/>
      <c r="F766" s="63"/>
      <c r="G766" s="63"/>
    </row>
    <row r="767" customFormat="false" ht="15.75" hidden="true" customHeight="true" outlineLevel="0" collapsed="false">
      <c r="A767" s="63" t="n">
        <v>2024</v>
      </c>
      <c r="B767" s="79" t="s">
        <v>330</v>
      </c>
      <c r="C767" s="79"/>
      <c r="D767" s="63"/>
      <c r="E767" s="63"/>
      <c r="F767" s="63"/>
      <c r="G767" s="63"/>
    </row>
    <row r="768" customFormat="false" ht="15.75" hidden="true" customHeight="true" outlineLevel="0" collapsed="false">
      <c r="A768" s="63" t="n">
        <v>2024</v>
      </c>
      <c r="B768" s="79" t="s">
        <v>330</v>
      </c>
      <c r="C768" s="79"/>
      <c r="D768" s="63"/>
      <c r="E768" s="63"/>
      <c r="F768" s="63"/>
      <c r="G768" s="63"/>
    </row>
    <row r="769" customFormat="false" ht="15.75" hidden="true" customHeight="true" outlineLevel="0" collapsed="false">
      <c r="A769" s="63" t="n">
        <v>2024</v>
      </c>
      <c r="B769" s="79" t="s">
        <v>330</v>
      </c>
      <c r="C769" s="79"/>
      <c r="D769" s="63"/>
      <c r="E769" s="63"/>
      <c r="F769" s="63"/>
      <c r="G769" s="63"/>
    </row>
    <row r="770" customFormat="false" ht="15.75" hidden="true" customHeight="true" outlineLevel="0" collapsed="false">
      <c r="A770" s="63" t="n">
        <v>2024</v>
      </c>
      <c r="B770" s="79" t="s">
        <v>330</v>
      </c>
      <c r="C770" s="79"/>
      <c r="D770" s="63"/>
      <c r="E770" s="63"/>
      <c r="F770" s="63"/>
      <c r="G770" s="63"/>
    </row>
    <row r="771" customFormat="false" ht="15.75" hidden="true" customHeight="true" outlineLevel="0" collapsed="false">
      <c r="A771" s="63" t="n">
        <v>2024</v>
      </c>
      <c r="B771" s="79" t="s">
        <v>330</v>
      </c>
      <c r="C771" s="79"/>
      <c r="D771" s="63"/>
      <c r="E771" s="63"/>
      <c r="F771" s="63"/>
      <c r="G771" s="63"/>
    </row>
    <row r="772" customFormat="false" ht="15.75" hidden="true" customHeight="true" outlineLevel="0" collapsed="false">
      <c r="A772" s="63" t="n">
        <v>2024</v>
      </c>
      <c r="B772" s="79" t="s">
        <v>330</v>
      </c>
      <c r="C772" s="79"/>
      <c r="D772" s="63"/>
      <c r="E772" s="63"/>
      <c r="F772" s="63"/>
      <c r="G772" s="63"/>
    </row>
    <row r="773" customFormat="false" ht="15.75" hidden="true" customHeight="true" outlineLevel="0" collapsed="false">
      <c r="A773" s="63" t="n">
        <v>2024</v>
      </c>
      <c r="B773" s="79" t="s">
        <v>330</v>
      </c>
      <c r="C773" s="79"/>
      <c r="D773" s="63"/>
      <c r="E773" s="63"/>
      <c r="F773" s="63"/>
      <c r="G773" s="63"/>
    </row>
    <row r="774" customFormat="false" ht="15.75" hidden="true" customHeight="true" outlineLevel="0" collapsed="false">
      <c r="A774" s="63" t="n">
        <v>2024</v>
      </c>
      <c r="B774" s="79" t="s">
        <v>330</v>
      </c>
      <c r="C774" s="79"/>
      <c r="D774" s="63"/>
      <c r="E774" s="63"/>
      <c r="F774" s="63"/>
      <c r="G774" s="63"/>
    </row>
    <row r="775" customFormat="false" ht="15.75" hidden="true" customHeight="true" outlineLevel="0" collapsed="false">
      <c r="A775" s="63" t="n">
        <v>2024</v>
      </c>
      <c r="B775" s="79" t="s">
        <v>330</v>
      </c>
      <c r="C775" s="79"/>
      <c r="D775" s="63"/>
      <c r="E775" s="63"/>
      <c r="F775" s="63"/>
      <c r="G775" s="63"/>
    </row>
    <row r="776" customFormat="false" ht="15.75" hidden="true" customHeight="true" outlineLevel="0" collapsed="false">
      <c r="A776" s="63" t="n">
        <v>2024</v>
      </c>
      <c r="B776" s="79" t="s">
        <v>330</v>
      </c>
      <c r="C776" s="79"/>
      <c r="D776" s="63"/>
      <c r="E776" s="63"/>
      <c r="F776" s="63"/>
      <c r="G776" s="63"/>
    </row>
    <row r="777" customFormat="false" ht="15.75" hidden="true" customHeight="true" outlineLevel="0" collapsed="false">
      <c r="A777" s="63" t="n">
        <v>2024</v>
      </c>
      <c r="B777" s="79" t="s">
        <v>330</v>
      </c>
      <c r="C777" s="79"/>
      <c r="D777" s="63"/>
      <c r="E777" s="63"/>
      <c r="F777" s="63"/>
      <c r="G777" s="63"/>
    </row>
    <row r="778" customFormat="false" ht="15.75" hidden="true" customHeight="true" outlineLevel="0" collapsed="false">
      <c r="A778" s="63" t="n">
        <v>2024</v>
      </c>
      <c r="B778" s="79" t="s">
        <v>330</v>
      </c>
      <c r="C778" s="79"/>
      <c r="D778" s="63"/>
      <c r="E778" s="63"/>
      <c r="F778" s="63"/>
      <c r="G778" s="63"/>
    </row>
    <row r="779" customFormat="false" ht="15.75" hidden="true" customHeight="true" outlineLevel="0" collapsed="false">
      <c r="A779" s="63" t="n">
        <v>2024</v>
      </c>
      <c r="B779" s="79" t="s">
        <v>330</v>
      </c>
      <c r="C779" s="79"/>
      <c r="D779" s="63"/>
      <c r="E779" s="63"/>
      <c r="F779" s="63"/>
      <c r="G779" s="63"/>
    </row>
    <row r="780" customFormat="false" ht="15.75" hidden="true" customHeight="true" outlineLevel="0" collapsed="false">
      <c r="A780" s="63" t="n">
        <v>2024</v>
      </c>
      <c r="B780" s="79" t="s">
        <v>330</v>
      </c>
      <c r="C780" s="79"/>
      <c r="D780" s="63"/>
      <c r="E780" s="63"/>
      <c r="F780" s="63"/>
      <c r="G780" s="63"/>
    </row>
    <row r="781" customFormat="false" ht="15.75" hidden="true" customHeight="true" outlineLevel="0" collapsed="false">
      <c r="A781" s="99" t="s">
        <v>417</v>
      </c>
      <c r="B781" s="99"/>
      <c r="C781" s="99"/>
      <c r="D781" s="99"/>
      <c r="E781" s="99"/>
      <c r="F781" s="99"/>
      <c r="G781" s="99"/>
    </row>
    <row r="782" customFormat="false" ht="15.75" hidden="true" customHeight="true" outlineLevel="0" collapsed="false">
      <c r="A782" s="63" t="n">
        <v>2024</v>
      </c>
      <c r="B782" s="79" t="s">
        <v>331</v>
      </c>
      <c r="C782" s="79"/>
      <c r="D782" s="63"/>
      <c r="E782" s="63"/>
      <c r="F782" s="63"/>
      <c r="G782" s="63"/>
    </row>
    <row r="783" customFormat="false" ht="15.75" hidden="true" customHeight="true" outlineLevel="0" collapsed="false">
      <c r="A783" s="63" t="n">
        <v>2024</v>
      </c>
      <c r="B783" s="79" t="s">
        <v>331</v>
      </c>
      <c r="C783" s="79"/>
      <c r="D783" s="63"/>
      <c r="E783" s="63"/>
      <c r="F783" s="63"/>
      <c r="G783" s="63"/>
    </row>
    <row r="784" customFormat="false" ht="15.75" hidden="true" customHeight="true" outlineLevel="0" collapsed="false">
      <c r="A784" s="63" t="n">
        <v>2024</v>
      </c>
      <c r="B784" s="79" t="s">
        <v>331</v>
      </c>
      <c r="C784" s="79"/>
      <c r="D784" s="63"/>
      <c r="E784" s="63"/>
      <c r="F784" s="63"/>
      <c r="G784" s="63"/>
    </row>
    <row r="785" customFormat="false" ht="15.75" hidden="true" customHeight="true" outlineLevel="0" collapsed="false">
      <c r="A785" s="63" t="n">
        <v>2024</v>
      </c>
      <c r="B785" s="79" t="s">
        <v>331</v>
      </c>
      <c r="C785" s="79"/>
      <c r="D785" s="63"/>
      <c r="E785" s="63"/>
      <c r="F785" s="63"/>
      <c r="G785" s="63"/>
    </row>
    <row r="786" customFormat="false" ht="15.75" hidden="true" customHeight="true" outlineLevel="0" collapsed="false">
      <c r="A786" s="63" t="n">
        <v>2024</v>
      </c>
      <c r="B786" s="79" t="s">
        <v>331</v>
      </c>
      <c r="C786" s="79"/>
      <c r="D786" s="63"/>
      <c r="E786" s="63"/>
      <c r="F786" s="63"/>
      <c r="G786" s="63"/>
    </row>
    <row r="787" customFormat="false" ht="15.75" hidden="true" customHeight="true" outlineLevel="0" collapsed="false">
      <c r="A787" s="63" t="n">
        <v>2024</v>
      </c>
      <c r="B787" s="79" t="s">
        <v>331</v>
      </c>
      <c r="C787" s="79"/>
      <c r="D787" s="63"/>
      <c r="E787" s="63"/>
      <c r="F787" s="63"/>
      <c r="G787" s="63"/>
    </row>
    <row r="788" customFormat="false" ht="15.75" hidden="true" customHeight="true" outlineLevel="0" collapsed="false">
      <c r="A788" s="63" t="n">
        <v>2024</v>
      </c>
      <c r="B788" s="79" t="s">
        <v>331</v>
      </c>
      <c r="C788" s="79"/>
      <c r="D788" s="63"/>
      <c r="E788" s="63"/>
      <c r="F788" s="63"/>
      <c r="G788" s="63"/>
    </row>
    <row r="789" customFormat="false" ht="15.75" hidden="true" customHeight="true" outlineLevel="0" collapsed="false">
      <c r="A789" s="63" t="n">
        <v>2024</v>
      </c>
      <c r="B789" s="79" t="s">
        <v>331</v>
      </c>
      <c r="C789" s="79"/>
      <c r="D789" s="63"/>
      <c r="E789" s="63"/>
      <c r="F789" s="63"/>
      <c r="G789" s="63"/>
    </row>
    <row r="790" customFormat="false" ht="15.75" hidden="true" customHeight="true" outlineLevel="0" collapsed="false">
      <c r="A790" s="63" t="n">
        <v>2024</v>
      </c>
      <c r="B790" s="79" t="s">
        <v>331</v>
      </c>
      <c r="C790" s="79"/>
      <c r="D790" s="63"/>
      <c r="E790" s="63"/>
      <c r="F790" s="63"/>
      <c r="G790" s="63"/>
    </row>
    <row r="791" customFormat="false" ht="15.75" hidden="true" customHeight="true" outlineLevel="0" collapsed="false">
      <c r="A791" s="63" t="n">
        <v>2024</v>
      </c>
      <c r="B791" s="79" t="s">
        <v>331</v>
      </c>
      <c r="C791" s="79"/>
      <c r="D791" s="63"/>
      <c r="E791" s="63"/>
      <c r="F791" s="63"/>
      <c r="G791" s="63"/>
    </row>
    <row r="792" customFormat="false" ht="15.75" hidden="true" customHeight="true" outlineLevel="0" collapsed="false">
      <c r="A792" s="63" t="n">
        <v>2024</v>
      </c>
      <c r="B792" s="79" t="s">
        <v>331</v>
      </c>
      <c r="C792" s="79"/>
      <c r="D792" s="63"/>
      <c r="E792" s="63"/>
      <c r="F792" s="63"/>
      <c r="G792" s="63"/>
    </row>
    <row r="793" customFormat="false" ht="15.75" hidden="true" customHeight="true" outlineLevel="0" collapsed="false">
      <c r="A793" s="63" t="n">
        <v>2024</v>
      </c>
      <c r="B793" s="79" t="s">
        <v>331</v>
      </c>
      <c r="C793" s="79"/>
      <c r="D793" s="63"/>
      <c r="E793" s="63"/>
      <c r="F793" s="63"/>
      <c r="G793" s="63"/>
    </row>
    <row r="794" customFormat="false" ht="15.75" hidden="true" customHeight="true" outlineLevel="0" collapsed="false">
      <c r="A794" s="63" t="n">
        <v>2024</v>
      </c>
      <c r="B794" s="79" t="s">
        <v>331</v>
      </c>
      <c r="C794" s="79"/>
      <c r="D794" s="63"/>
      <c r="E794" s="63"/>
      <c r="F794" s="63"/>
      <c r="G794" s="63"/>
    </row>
    <row r="795" customFormat="false" ht="15.75" hidden="true" customHeight="true" outlineLevel="0" collapsed="false">
      <c r="A795" s="63" t="n">
        <v>2024</v>
      </c>
      <c r="B795" s="79" t="s">
        <v>331</v>
      </c>
      <c r="C795" s="79"/>
      <c r="D795" s="63"/>
      <c r="E795" s="63"/>
      <c r="F795" s="63"/>
      <c r="G795" s="63"/>
    </row>
    <row r="796" customFormat="false" ht="15.75" hidden="true" customHeight="true" outlineLevel="0" collapsed="false">
      <c r="A796" s="63" t="n">
        <v>2024</v>
      </c>
      <c r="B796" s="79" t="s">
        <v>331</v>
      </c>
      <c r="C796" s="79"/>
      <c r="D796" s="63"/>
      <c r="E796" s="63"/>
      <c r="F796" s="63"/>
      <c r="G796" s="63"/>
    </row>
    <row r="797" customFormat="false" ht="15.75" hidden="true" customHeight="true" outlineLevel="0" collapsed="false">
      <c r="A797" s="63" t="n">
        <v>2024</v>
      </c>
      <c r="B797" s="79" t="s">
        <v>331</v>
      </c>
      <c r="C797" s="79"/>
      <c r="D797" s="63"/>
      <c r="E797" s="63"/>
      <c r="F797" s="63"/>
      <c r="G797" s="63"/>
    </row>
    <row r="798" customFormat="false" ht="15.75" hidden="true" customHeight="true" outlineLevel="0" collapsed="false">
      <c r="A798" s="63" t="n">
        <v>2024</v>
      </c>
      <c r="B798" s="79" t="s">
        <v>331</v>
      </c>
      <c r="C798" s="79"/>
      <c r="D798" s="63"/>
      <c r="E798" s="63"/>
      <c r="F798" s="63"/>
      <c r="G798" s="63"/>
    </row>
    <row r="799" customFormat="false" ht="15.75" hidden="true" customHeight="true" outlineLevel="0" collapsed="false">
      <c r="A799" s="63" t="n">
        <v>2024</v>
      </c>
      <c r="B799" s="79" t="s">
        <v>331</v>
      </c>
      <c r="C799" s="79"/>
      <c r="D799" s="63"/>
      <c r="E799" s="63"/>
      <c r="F799" s="63"/>
      <c r="G799" s="63"/>
    </row>
    <row r="800" customFormat="false" ht="15.75" hidden="true" customHeight="true" outlineLevel="0" collapsed="false">
      <c r="A800" s="63" t="n">
        <v>2024</v>
      </c>
      <c r="B800" s="79" t="s">
        <v>331</v>
      </c>
      <c r="C800" s="79"/>
      <c r="D800" s="63"/>
      <c r="E800" s="63"/>
      <c r="F800" s="63"/>
      <c r="G800" s="63"/>
    </row>
    <row r="801" customFormat="false" ht="15.75" hidden="true" customHeight="true" outlineLevel="0" collapsed="false">
      <c r="A801" s="63" t="n">
        <v>2024</v>
      </c>
      <c r="B801" s="79" t="s">
        <v>331</v>
      </c>
      <c r="C801" s="79"/>
      <c r="D801" s="63"/>
      <c r="E801" s="63"/>
      <c r="F801" s="63"/>
      <c r="G801" s="63"/>
    </row>
    <row r="802" customFormat="false" ht="15.75" hidden="true" customHeight="true" outlineLevel="0" collapsed="false">
      <c r="A802" s="99" t="s">
        <v>418</v>
      </c>
      <c r="B802" s="99"/>
      <c r="C802" s="99"/>
      <c r="D802" s="99"/>
      <c r="E802" s="99"/>
      <c r="F802" s="99"/>
      <c r="G802" s="99"/>
    </row>
    <row r="803" customFormat="false" ht="15.75" hidden="true" customHeight="true" outlineLevel="0" collapsed="false">
      <c r="A803" s="63" t="n">
        <v>2024</v>
      </c>
      <c r="B803" s="79" t="s">
        <v>332</v>
      </c>
      <c r="C803" s="79"/>
      <c r="D803" s="63"/>
      <c r="E803" s="63"/>
      <c r="F803" s="63"/>
      <c r="G803" s="63"/>
    </row>
    <row r="804" customFormat="false" ht="15.75" hidden="true" customHeight="true" outlineLevel="0" collapsed="false">
      <c r="A804" s="63" t="n">
        <v>2024</v>
      </c>
      <c r="B804" s="79" t="s">
        <v>332</v>
      </c>
      <c r="C804" s="79"/>
      <c r="D804" s="63"/>
      <c r="E804" s="63"/>
      <c r="F804" s="63"/>
      <c r="G804" s="63"/>
    </row>
    <row r="805" customFormat="false" ht="15.75" hidden="true" customHeight="true" outlineLevel="0" collapsed="false">
      <c r="A805" s="63" t="n">
        <v>2024</v>
      </c>
      <c r="B805" s="79" t="s">
        <v>332</v>
      </c>
      <c r="C805" s="79"/>
      <c r="D805" s="63"/>
      <c r="E805" s="63"/>
      <c r="F805" s="63"/>
      <c r="G805" s="63"/>
    </row>
    <row r="806" customFormat="false" ht="15.75" hidden="true" customHeight="true" outlineLevel="0" collapsed="false">
      <c r="A806" s="63" t="n">
        <v>2024</v>
      </c>
      <c r="B806" s="79" t="s">
        <v>332</v>
      </c>
      <c r="C806" s="79"/>
      <c r="D806" s="63"/>
      <c r="E806" s="63"/>
      <c r="F806" s="63"/>
      <c r="G806" s="63"/>
    </row>
    <row r="807" customFormat="false" ht="15.75" hidden="true" customHeight="true" outlineLevel="0" collapsed="false">
      <c r="A807" s="63" t="n">
        <v>2024</v>
      </c>
      <c r="B807" s="79" t="s">
        <v>332</v>
      </c>
      <c r="C807" s="79"/>
      <c r="D807" s="63"/>
      <c r="E807" s="63"/>
      <c r="F807" s="63"/>
      <c r="G807" s="63"/>
    </row>
    <row r="808" customFormat="false" ht="15.75" hidden="true" customHeight="true" outlineLevel="0" collapsed="false">
      <c r="A808" s="63" t="n">
        <v>2024</v>
      </c>
      <c r="B808" s="79" t="s">
        <v>332</v>
      </c>
      <c r="C808" s="79"/>
      <c r="D808" s="63"/>
      <c r="E808" s="63"/>
      <c r="F808" s="63"/>
      <c r="G808" s="63"/>
    </row>
    <row r="809" customFormat="false" ht="15.75" hidden="true" customHeight="true" outlineLevel="0" collapsed="false">
      <c r="A809" s="63" t="n">
        <v>2024</v>
      </c>
      <c r="B809" s="79" t="s">
        <v>332</v>
      </c>
      <c r="C809" s="79"/>
      <c r="D809" s="63"/>
      <c r="E809" s="63"/>
      <c r="F809" s="63"/>
      <c r="G809" s="63"/>
    </row>
    <row r="810" customFormat="false" ht="15.75" hidden="true" customHeight="true" outlineLevel="0" collapsed="false">
      <c r="A810" s="63" t="n">
        <v>2024</v>
      </c>
      <c r="B810" s="79" t="s">
        <v>332</v>
      </c>
      <c r="C810" s="79"/>
      <c r="D810" s="63"/>
      <c r="E810" s="63"/>
      <c r="F810" s="63"/>
      <c r="G810" s="63"/>
    </row>
    <row r="811" customFormat="false" ht="15.75" hidden="true" customHeight="true" outlineLevel="0" collapsed="false">
      <c r="A811" s="63" t="n">
        <v>2024</v>
      </c>
      <c r="B811" s="79" t="s">
        <v>332</v>
      </c>
      <c r="C811" s="79"/>
      <c r="D811" s="63"/>
      <c r="E811" s="63"/>
      <c r="F811" s="63"/>
      <c r="G811" s="63"/>
    </row>
    <row r="812" customFormat="false" ht="15.75" hidden="true" customHeight="true" outlineLevel="0" collapsed="false">
      <c r="A812" s="63" t="n">
        <v>2024</v>
      </c>
      <c r="B812" s="79" t="s">
        <v>332</v>
      </c>
      <c r="C812" s="79"/>
      <c r="D812" s="63"/>
      <c r="E812" s="63"/>
      <c r="F812" s="63"/>
      <c r="G812" s="63"/>
    </row>
    <row r="813" customFormat="false" ht="15.75" hidden="true" customHeight="true" outlineLevel="0" collapsed="false">
      <c r="A813" s="63" t="n">
        <v>2024</v>
      </c>
      <c r="B813" s="79" t="s">
        <v>332</v>
      </c>
      <c r="C813" s="79"/>
      <c r="D813" s="63"/>
      <c r="E813" s="63"/>
      <c r="F813" s="63"/>
      <c r="G813" s="63"/>
    </row>
    <row r="814" customFormat="false" ht="15.75" hidden="true" customHeight="true" outlineLevel="0" collapsed="false">
      <c r="A814" s="63" t="n">
        <v>2024</v>
      </c>
      <c r="B814" s="79" t="s">
        <v>332</v>
      </c>
      <c r="C814" s="79"/>
      <c r="D814" s="63"/>
      <c r="E814" s="63"/>
      <c r="F814" s="63"/>
      <c r="G814" s="63"/>
    </row>
    <row r="815" customFormat="false" ht="15.75" hidden="true" customHeight="true" outlineLevel="0" collapsed="false">
      <c r="A815" s="63" t="n">
        <v>2024</v>
      </c>
      <c r="B815" s="79" t="s">
        <v>332</v>
      </c>
      <c r="C815" s="79"/>
      <c r="D815" s="63"/>
      <c r="E815" s="63"/>
      <c r="F815" s="63"/>
      <c r="G815" s="63"/>
    </row>
    <row r="816" customFormat="false" ht="15.75" hidden="true" customHeight="true" outlineLevel="0" collapsed="false">
      <c r="A816" s="63" t="n">
        <v>2024</v>
      </c>
      <c r="B816" s="79" t="s">
        <v>332</v>
      </c>
      <c r="C816" s="79"/>
      <c r="D816" s="63"/>
      <c r="E816" s="63"/>
      <c r="F816" s="63"/>
      <c r="G816" s="63"/>
    </row>
    <row r="817" customFormat="false" ht="15.75" hidden="true" customHeight="true" outlineLevel="0" collapsed="false">
      <c r="A817" s="63" t="n">
        <v>2024</v>
      </c>
      <c r="B817" s="79" t="s">
        <v>332</v>
      </c>
      <c r="C817" s="79"/>
      <c r="D817" s="63"/>
      <c r="E817" s="63"/>
      <c r="F817" s="63"/>
      <c r="G817" s="63"/>
    </row>
    <row r="818" customFormat="false" ht="15.75" hidden="true" customHeight="true" outlineLevel="0" collapsed="false">
      <c r="A818" s="63" t="n">
        <v>2024</v>
      </c>
      <c r="B818" s="79" t="s">
        <v>332</v>
      </c>
      <c r="C818" s="79"/>
      <c r="D818" s="63"/>
      <c r="E818" s="63"/>
      <c r="F818" s="63"/>
      <c r="G818" s="63"/>
    </row>
    <row r="819" customFormat="false" ht="15.75" hidden="true" customHeight="true" outlineLevel="0" collapsed="false">
      <c r="A819" s="63" t="n">
        <v>2024</v>
      </c>
      <c r="B819" s="79" t="s">
        <v>332</v>
      </c>
      <c r="C819" s="79"/>
      <c r="D819" s="63"/>
      <c r="E819" s="63"/>
      <c r="F819" s="63"/>
      <c r="G819" s="63"/>
    </row>
    <row r="820" customFormat="false" ht="15.75" hidden="true" customHeight="true" outlineLevel="0" collapsed="false">
      <c r="A820" s="63" t="n">
        <v>2024</v>
      </c>
      <c r="B820" s="79" t="s">
        <v>332</v>
      </c>
      <c r="C820" s="79"/>
      <c r="D820" s="63"/>
      <c r="E820" s="63"/>
      <c r="F820" s="63"/>
      <c r="G820" s="63"/>
    </row>
    <row r="821" customFormat="false" ht="15.75" hidden="true" customHeight="true" outlineLevel="0" collapsed="false">
      <c r="A821" s="63" t="n">
        <v>2024</v>
      </c>
      <c r="B821" s="79" t="s">
        <v>332</v>
      </c>
      <c r="C821" s="79"/>
      <c r="D821" s="63"/>
      <c r="E821" s="63"/>
      <c r="F821" s="63"/>
      <c r="G821" s="63"/>
    </row>
    <row r="822" customFormat="false" ht="15.75" hidden="true" customHeight="true" outlineLevel="0" collapsed="false">
      <c r="A822" s="63" t="n">
        <v>2024</v>
      </c>
      <c r="B822" s="79" t="s">
        <v>332</v>
      </c>
      <c r="C822" s="79"/>
      <c r="D822" s="63"/>
      <c r="E822" s="63"/>
      <c r="F822" s="63"/>
      <c r="G822" s="63"/>
    </row>
    <row r="823" customFormat="false" ht="15.75" hidden="true" customHeight="true" outlineLevel="0" collapsed="false">
      <c r="A823" s="99" t="s">
        <v>419</v>
      </c>
      <c r="B823" s="99"/>
      <c r="C823" s="99"/>
      <c r="D823" s="99"/>
      <c r="E823" s="99"/>
      <c r="F823" s="99"/>
      <c r="G823" s="99"/>
    </row>
    <row r="824" customFormat="false" ht="15.75" hidden="true" customHeight="true" outlineLevel="0" collapsed="false">
      <c r="A824" s="63" t="n">
        <v>2024</v>
      </c>
      <c r="B824" s="79" t="s">
        <v>333</v>
      </c>
      <c r="C824" s="79"/>
      <c r="D824" s="63"/>
      <c r="E824" s="63"/>
      <c r="F824" s="63"/>
      <c r="G824" s="63"/>
    </row>
    <row r="825" customFormat="false" ht="15.75" hidden="true" customHeight="true" outlineLevel="0" collapsed="false">
      <c r="A825" s="63" t="n">
        <v>2024</v>
      </c>
      <c r="B825" s="79" t="s">
        <v>333</v>
      </c>
      <c r="C825" s="79"/>
      <c r="D825" s="63"/>
      <c r="E825" s="63"/>
      <c r="F825" s="63"/>
      <c r="G825" s="63"/>
    </row>
    <row r="826" customFormat="false" ht="15.75" hidden="true" customHeight="true" outlineLevel="0" collapsed="false">
      <c r="A826" s="63" t="n">
        <v>2024</v>
      </c>
      <c r="B826" s="79" t="s">
        <v>333</v>
      </c>
      <c r="C826" s="79"/>
      <c r="D826" s="63"/>
      <c r="E826" s="63"/>
      <c r="F826" s="63"/>
      <c r="G826" s="63"/>
    </row>
    <row r="827" customFormat="false" ht="15.75" hidden="true" customHeight="true" outlineLevel="0" collapsed="false">
      <c r="A827" s="63" t="n">
        <v>2024</v>
      </c>
      <c r="B827" s="79" t="s">
        <v>333</v>
      </c>
      <c r="C827" s="79"/>
      <c r="D827" s="63"/>
      <c r="E827" s="63"/>
      <c r="F827" s="63"/>
      <c r="G827" s="63"/>
    </row>
    <row r="828" customFormat="false" ht="15.75" hidden="true" customHeight="true" outlineLevel="0" collapsed="false">
      <c r="A828" s="63" t="n">
        <v>2024</v>
      </c>
      <c r="B828" s="79" t="s">
        <v>333</v>
      </c>
      <c r="C828" s="79"/>
      <c r="D828" s="63"/>
      <c r="E828" s="63"/>
      <c r="F828" s="63"/>
      <c r="G828" s="63"/>
    </row>
    <row r="829" customFormat="false" ht="15.75" hidden="true" customHeight="true" outlineLevel="0" collapsed="false">
      <c r="A829" s="63" t="n">
        <v>2024</v>
      </c>
      <c r="B829" s="79" t="s">
        <v>333</v>
      </c>
      <c r="C829" s="79"/>
      <c r="D829" s="63"/>
      <c r="E829" s="63"/>
      <c r="F829" s="63"/>
      <c r="G829" s="63"/>
    </row>
    <row r="830" customFormat="false" ht="15.75" hidden="true" customHeight="true" outlineLevel="0" collapsed="false">
      <c r="A830" s="63" t="n">
        <v>2024</v>
      </c>
      <c r="B830" s="79" t="s">
        <v>333</v>
      </c>
      <c r="C830" s="79"/>
      <c r="D830" s="63"/>
      <c r="E830" s="63"/>
      <c r="F830" s="63"/>
      <c r="G830" s="63"/>
    </row>
    <row r="831" customFormat="false" ht="15.75" hidden="true" customHeight="true" outlineLevel="0" collapsed="false">
      <c r="A831" s="63" t="n">
        <v>2024</v>
      </c>
      <c r="B831" s="79" t="s">
        <v>333</v>
      </c>
      <c r="C831" s="79"/>
      <c r="D831" s="63"/>
      <c r="E831" s="63"/>
      <c r="F831" s="63"/>
      <c r="G831" s="63"/>
    </row>
    <row r="832" customFormat="false" ht="15.75" hidden="true" customHeight="true" outlineLevel="0" collapsed="false">
      <c r="A832" s="63" t="n">
        <v>2024</v>
      </c>
      <c r="B832" s="79" t="s">
        <v>333</v>
      </c>
      <c r="C832" s="79"/>
      <c r="D832" s="63"/>
      <c r="E832" s="63"/>
      <c r="F832" s="63"/>
      <c r="G832" s="63"/>
    </row>
    <row r="833" customFormat="false" ht="15.75" hidden="true" customHeight="true" outlineLevel="0" collapsed="false">
      <c r="A833" s="63" t="n">
        <v>2024</v>
      </c>
      <c r="B833" s="79" t="s">
        <v>333</v>
      </c>
      <c r="C833" s="79"/>
      <c r="D833" s="63"/>
      <c r="E833" s="63"/>
      <c r="F833" s="63"/>
      <c r="G833" s="63"/>
    </row>
    <row r="834" customFormat="false" ht="15.75" hidden="true" customHeight="true" outlineLevel="0" collapsed="false">
      <c r="A834" s="63" t="n">
        <v>2024</v>
      </c>
      <c r="B834" s="79" t="s">
        <v>333</v>
      </c>
      <c r="C834" s="79"/>
      <c r="D834" s="63"/>
      <c r="E834" s="63"/>
      <c r="F834" s="63"/>
      <c r="G834" s="63"/>
    </row>
    <row r="835" customFormat="false" ht="15.75" hidden="true" customHeight="true" outlineLevel="0" collapsed="false">
      <c r="A835" s="63" t="n">
        <v>2024</v>
      </c>
      <c r="B835" s="79" t="s">
        <v>333</v>
      </c>
      <c r="C835" s="79"/>
      <c r="D835" s="63"/>
      <c r="E835" s="63"/>
      <c r="F835" s="63"/>
      <c r="G835" s="63"/>
    </row>
    <row r="836" customFormat="false" ht="15.75" hidden="true" customHeight="true" outlineLevel="0" collapsed="false">
      <c r="A836" s="63" t="n">
        <v>2024</v>
      </c>
      <c r="B836" s="79" t="s">
        <v>333</v>
      </c>
      <c r="C836" s="79"/>
      <c r="D836" s="63"/>
      <c r="E836" s="63"/>
      <c r="F836" s="63"/>
      <c r="G836" s="63"/>
    </row>
    <row r="837" customFormat="false" ht="15.75" hidden="true" customHeight="true" outlineLevel="0" collapsed="false">
      <c r="A837" s="63" t="n">
        <v>2024</v>
      </c>
      <c r="B837" s="79" t="s">
        <v>333</v>
      </c>
      <c r="C837" s="79"/>
      <c r="D837" s="63"/>
      <c r="E837" s="63"/>
      <c r="F837" s="63"/>
      <c r="G837" s="63"/>
    </row>
    <row r="838" customFormat="false" ht="15.75" hidden="true" customHeight="true" outlineLevel="0" collapsed="false">
      <c r="A838" s="63" t="n">
        <v>2024</v>
      </c>
      <c r="B838" s="79" t="s">
        <v>333</v>
      </c>
      <c r="C838" s="79"/>
      <c r="D838" s="63"/>
      <c r="E838" s="63"/>
      <c r="F838" s="63"/>
      <c r="G838" s="63"/>
    </row>
    <row r="839" customFormat="false" ht="15.75" hidden="true" customHeight="true" outlineLevel="0" collapsed="false">
      <c r="A839" s="63" t="n">
        <v>2024</v>
      </c>
      <c r="B839" s="79" t="s">
        <v>333</v>
      </c>
      <c r="C839" s="79"/>
      <c r="D839" s="63"/>
      <c r="E839" s="63"/>
      <c r="F839" s="63"/>
      <c r="G839" s="63"/>
    </row>
    <row r="840" customFormat="false" ht="15.75" hidden="true" customHeight="true" outlineLevel="0" collapsed="false">
      <c r="A840" s="63" t="n">
        <v>2024</v>
      </c>
      <c r="B840" s="79" t="s">
        <v>333</v>
      </c>
      <c r="C840" s="79"/>
      <c r="D840" s="63"/>
      <c r="E840" s="63"/>
      <c r="F840" s="63"/>
      <c r="G840" s="63"/>
    </row>
    <row r="841" customFormat="false" ht="15.75" hidden="true" customHeight="true" outlineLevel="0" collapsed="false">
      <c r="A841" s="63" t="n">
        <v>2024</v>
      </c>
      <c r="B841" s="79" t="s">
        <v>333</v>
      </c>
      <c r="C841" s="79"/>
      <c r="D841" s="63"/>
      <c r="E841" s="63"/>
      <c r="F841" s="63"/>
      <c r="G841" s="63"/>
    </row>
    <row r="842" customFormat="false" ht="15.75" hidden="true" customHeight="true" outlineLevel="0" collapsed="false">
      <c r="A842" s="63" t="n">
        <v>2024</v>
      </c>
      <c r="B842" s="79" t="s">
        <v>333</v>
      </c>
      <c r="C842" s="79"/>
      <c r="D842" s="63"/>
      <c r="E842" s="63"/>
      <c r="F842" s="63"/>
      <c r="G842" s="63"/>
    </row>
    <row r="843" customFormat="false" ht="15.75" hidden="true" customHeight="true" outlineLevel="0" collapsed="false">
      <c r="A843" s="63" t="n">
        <v>2024</v>
      </c>
      <c r="B843" s="79" t="s">
        <v>333</v>
      </c>
      <c r="C843" s="79"/>
      <c r="D843" s="63"/>
      <c r="E843" s="63"/>
      <c r="F843" s="63"/>
      <c r="G843" s="63"/>
    </row>
    <row r="844" customFormat="false" ht="15.75" hidden="true" customHeight="true" outlineLevel="0" collapsed="false">
      <c r="A844" s="99" t="s">
        <v>420</v>
      </c>
      <c r="B844" s="99"/>
      <c r="C844" s="99"/>
      <c r="D844" s="99"/>
      <c r="E844" s="99"/>
      <c r="F844" s="99"/>
      <c r="G844" s="99"/>
    </row>
    <row r="845" customFormat="false" ht="15.75" hidden="true" customHeight="true" outlineLevel="0" collapsed="false">
      <c r="A845" s="63" t="n">
        <v>2024</v>
      </c>
      <c r="B845" s="79" t="s">
        <v>65</v>
      </c>
      <c r="C845" s="79"/>
      <c r="D845" s="63"/>
      <c r="E845" s="63"/>
      <c r="F845" s="63"/>
      <c r="G845" s="63"/>
    </row>
    <row r="846" customFormat="false" ht="15.75" hidden="true" customHeight="true" outlineLevel="0" collapsed="false">
      <c r="A846" s="63" t="n">
        <v>2024</v>
      </c>
      <c r="B846" s="79" t="s">
        <v>65</v>
      </c>
      <c r="C846" s="79"/>
      <c r="D846" s="63"/>
      <c r="E846" s="63"/>
      <c r="F846" s="63"/>
      <c r="G846" s="63"/>
    </row>
    <row r="847" customFormat="false" ht="15.75" hidden="true" customHeight="true" outlineLevel="0" collapsed="false">
      <c r="A847" s="63" t="n">
        <v>2024</v>
      </c>
      <c r="B847" s="79" t="s">
        <v>65</v>
      </c>
      <c r="C847" s="79"/>
      <c r="D847" s="63"/>
      <c r="E847" s="63"/>
      <c r="F847" s="63"/>
      <c r="G847" s="63"/>
    </row>
    <row r="848" customFormat="false" ht="15.75" hidden="true" customHeight="true" outlineLevel="0" collapsed="false">
      <c r="A848" s="63" t="n">
        <v>2024</v>
      </c>
      <c r="B848" s="79" t="s">
        <v>65</v>
      </c>
      <c r="C848" s="79"/>
      <c r="D848" s="63"/>
      <c r="E848" s="63"/>
      <c r="F848" s="63"/>
      <c r="G848" s="63"/>
    </row>
    <row r="849" customFormat="false" ht="15.75" hidden="true" customHeight="true" outlineLevel="0" collapsed="false">
      <c r="A849" s="63" t="n">
        <v>2024</v>
      </c>
      <c r="B849" s="79" t="s">
        <v>65</v>
      </c>
      <c r="C849" s="79"/>
      <c r="D849" s="63"/>
      <c r="E849" s="63"/>
      <c r="F849" s="63"/>
      <c r="G849" s="63"/>
    </row>
    <row r="850" customFormat="false" ht="15.75" hidden="true" customHeight="true" outlineLevel="0" collapsed="false">
      <c r="A850" s="63" t="n">
        <v>2024</v>
      </c>
      <c r="B850" s="79" t="s">
        <v>65</v>
      </c>
      <c r="C850" s="79"/>
      <c r="D850" s="63"/>
      <c r="E850" s="63"/>
      <c r="F850" s="63"/>
      <c r="G850" s="63"/>
    </row>
    <row r="851" customFormat="false" ht="15.75" hidden="true" customHeight="true" outlineLevel="0" collapsed="false">
      <c r="A851" s="63" t="n">
        <v>2024</v>
      </c>
      <c r="B851" s="79" t="s">
        <v>65</v>
      </c>
      <c r="C851" s="79"/>
      <c r="D851" s="63"/>
      <c r="E851" s="63"/>
      <c r="F851" s="63"/>
      <c r="G851" s="63"/>
    </row>
    <row r="852" customFormat="false" ht="15.75" hidden="true" customHeight="true" outlineLevel="0" collapsed="false">
      <c r="A852" s="63" t="n">
        <v>2024</v>
      </c>
      <c r="B852" s="79" t="s">
        <v>65</v>
      </c>
      <c r="C852" s="79"/>
      <c r="D852" s="63"/>
      <c r="E852" s="63"/>
      <c r="F852" s="63"/>
      <c r="G852" s="63"/>
    </row>
    <row r="853" customFormat="false" ht="15.75" hidden="true" customHeight="true" outlineLevel="0" collapsed="false">
      <c r="A853" s="63" t="n">
        <v>2024</v>
      </c>
      <c r="B853" s="79" t="s">
        <v>65</v>
      </c>
      <c r="C853" s="79"/>
      <c r="D853" s="63"/>
      <c r="E853" s="63"/>
      <c r="F853" s="63"/>
      <c r="G853" s="63"/>
    </row>
    <row r="854" customFormat="false" ht="15.75" hidden="true" customHeight="true" outlineLevel="0" collapsed="false">
      <c r="A854" s="63" t="n">
        <v>2024</v>
      </c>
      <c r="B854" s="79" t="s">
        <v>65</v>
      </c>
      <c r="C854" s="79"/>
      <c r="D854" s="63"/>
      <c r="E854" s="63"/>
      <c r="F854" s="63"/>
      <c r="G854" s="63"/>
    </row>
    <row r="855" customFormat="false" ht="15.75" hidden="true" customHeight="true" outlineLevel="0" collapsed="false">
      <c r="A855" s="63" t="n">
        <v>2024</v>
      </c>
      <c r="B855" s="79" t="s">
        <v>65</v>
      </c>
      <c r="C855" s="79"/>
      <c r="D855" s="63"/>
      <c r="E855" s="63"/>
      <c r="F855" s="63"/>
      <c r="G855" s="63"/>
    </row>
    <row r="856" customFormat="false" ht="15.75" hidden="true" customHeight="true" outlineLevel="0" collapsed="false">
      <c r="A856" s="63" t="n">
        <v>2024</v>
      </c>
      <c r="B856" s="79" t="s">
        <v>65</v>
      </c>
      <c r="C856" s="79"/>
      <c r="D856" s="63"/>
      <c r="E856" s="63"/>
      <c r="F856" s="63"/>
      <c r="G856" s="63"/>
    </row>
    <row r="857" customFormat="false" ht="15.75" hidden="true" customHeight="true" outlineLevel="0" collapsed="false">
      <c r="A857" s="63" t="n">
        <v>2024</v>
      </c>
      <c r="B857" s="79" t="s">
        <v>65</v>
      </c>
      <c r="C857" s="79"/>
      <c r="D857" s="63"/>
      <c r="E857" s="63"/>
      <c r="F857" s="63"/>
      <c r="G857" s="63"/>
    </row>
    <row r="858" customFormat="false" ht="15.75" hidden="true" customHeight="true" outlineLevel="0" collapsed="false">
      <c r="A858" s="63" t="n">
        <v>2024</v>
      </c>
      <c r="B858" s="79" t="s">
        <v>65</v>
      </c>
      <c r="C858" s="79"/>
      <c r="D858" s="63"/>
      <c r="E858" s="63"/>
      <c r="F858" s="63"/>
      <c r="G858" s="63"/>
    </row>
    <row r="859" customFormat="false" ht="15.75" hidden="true" customHeight="true" outlineLevel="0" collapsed="false">
      <c r="A859" s="63" t="n">
        <v>2024</v>
      </c>
      <c r="B859" s="79" t="s">
        <v>65</v>
      </c>
      <c r="C859" s="79"/>
      <c r="D859" s="63"/>
      <c r="E859" s="63"/>
      <c r="F859" s="63"/>
      <c r="G859" s="63"/>
    </row>
    <row r="860" customFormat="false" ht="15.75" hidden="true" customHeight="true" outlineLevel="0" collapsed="false">
      <c r="A860" s="63" t="n">
        <v>2024</v>
      </c>
      <c r="B860" s="79" t="s">
        <v>65</v>
      </c>
      <c r="C860" s="79"/>
      <c r="D860" s="63"/>
      <c r="E860" s="63"/>
      <c r="F860" s="63"/>
      <c r="G860" s="63"/>
    </row>
    <row r="861" customFormat="false" ht="15.75" hidden="true" customHeight="true" outlineLevel="0" collapsed="false">
      <c r="A861" s="63" t="n">
        <v>2024</v>
      </c>
      <c r="B861" s="79" t="s">
        <v>65</v>
      </c>
      <c r="C861" s="79"/>
      <c r="D861" s="63"/>
      <c r="E861" s="63"/>
      <c r="F861" s="63"/>
      <c r="G861" s="63"/>
    </row>
    <row r="862" customFormat="false" ht="15.75" hidden="true" customHeight="true" outlineLevel="0" collapsed="false">
      <c r="A862" s="63" t="n">
        <v>2024</v>
      </c>
      <c r="B862" s="79" t="s">
        <v>65</v>
      </c>
      <c r="C862" s="79"/>
      <c r="D862" s="63"/>
      <c r="E862" s="63"/>
      <c r="F862" s="63"/>
      <c r="G862" s="63"/>
    </row>
    <row r="863" customFormat="false" ht="15.75" hidden="true" customHeight="true" outlineLevel="0" collapsed="false">
      <c r="A863" s="63" t="n">
        <v>2024</v>
      </c>
      <c r="B863" s="79" t="s">
        <v>65</v>
      </c>
      <c r="C863" s="79"/>
      <c r="D863" s="63"/>
      <c r="E863" s="63"/>
      <c r="F863" s="63"/>
      <c r="G863" s="63"/>
    </row>
    <row r="864" customFormat="false" ht="15.75" hidden="true" customHeight="true" outlineLevel="0" collapsed="false">
      <c r="A864" s="63" t="n">
        <v>2024</v>
      </c>
      <c r="B864" s="79" t="s">
        <v>65</v>
      </c>
      <c r="C864" s="79"/>
      <c r="D864" s="63"/>
      <c r="E864" s="63"/>
      <c r="F864" s="63"/>
      <c r="G864" s="63"/>
    </row>
    <row r="865" customFormat="false" ht="15.75" hidden="true" customHeight="true" outlineLevel="0" collapsed="false">
      <c r="A865" s="99" t="s">
        <v>421</v>
      </c>
      <c r="B865" s="99"/>
      <c r="C865" s="99"/>
      <c r="D865" s="99"/>
      <c r="E865" s="99"/>
      <c r="F865" s="99"/>
      <c r="G865" s="99"/>
    </row>
    <row r="866" customFormat="false" ht="15.75" hidden="true" customHeight="true" outlineLevel="0" collapsed="false">
      <c r="A866" s="63" t="n">
        <v>2024</v>
      </c>
      <c r="B866" s="79" t="s">
        <v>108</v>
      </c>
      <c r="C866" s="79"/>
      <c r="D866" s="63"/>
      <c r="E866" s="63"/>
      <c r="F866" s="63"/>
      <c r="G866" s="63"/>
    </row>
    <row r="867" customFormat="false" ht="15.75" hidden="true" customHeight="true" outlineLevel="0" collapsed="false">
      <c r="A867" s="63" t="n">
        <v>2024</v>
      </c>
      <c r="B867" s="79" t="s">
        <v>108</v>
      </c>
      <c r="C867" s="79"/>
      <c r="D867" s="63"/>
      <c r="E867" s="63"/>
      <c r="F867" s="63"/>
      <c r="G867" s="63"/>
    </row>
    <row r="868" customFormat="false" ht="15.75" hidden="true" customHeight="true" outlineLevel="0" collapsed="false">
      <c r="A868" s="63" t="n">
        <v>2024</v>
      </c>
      <c r="B868" s="79" t="s">
        <v>108</v>
      </c>
      <c r="C868" s="79"/>
      <c r="D868" s="63"/>
      <c r="E868" s="63"/>
      <c r="F868" s="63"/>
      <c r="G868" s="63"/>
    </row>
    <row r="869" customFormat="false" ht="15.75" hidden="true" customHeight="true" outlineLevel="0" collapsed="false">
      <c r="A869" s="63" t="n">
        <v>2024</v>
      </c>
      <c r="B869" s="79" t="s">
        <v>108</v>
      </c>
      <c r="C869" s="79"/>
      <c r="D869" s="63"/>
      <c r="E869" s="63"/>
      <c r="F869" s="63"/>
      <c r="G869" s="63"/>
    </row>
    <row r="870" customFormat="false" ht="15.75" hidden="true" customHeight="true" outlineLevel="0" collapsed="false">
      <c r="A870" s="63" t="n">
        <v>2024</v>
      </c>
      <c r="B870" s="79" t="s">
        <v>108</v>
      </c>
      <c r="C870" s="79"/>
      <c r="D870" s="63"/>
      <c r="E870" s="63"/>
      <c r="F870" s="63"/>
      <c r="G870" s="63"/>
    </row>
    <row r="871" customFormat="false" ht="15.75" hidden="true" customHeight="true" outlineLevel="0" collapsed="false">
      <c r="A871" s="63" t="n">
        <v>2024</v>
      </c>
      <c r="B871" s="79" t="s">
        <v>108</v>
      </c>
      <c r="C871" s="79"/>
      <c r="D871" s="63"/>
      <c r="E871" s="63"/>
      <c r="F871" s="63"/>
      <c r="G871" s="63"/>
    </row>
    <row r="872" customFormat="false" ht="15.75" hidden="true" customHeight="true" outlineLevel="0" collapsed="false">
      <c r="A872" s="63" t="n">
        <v>2024</v>
      </c>
      <c r="B872" s="79" t="s">
        <v>108</v>
      </c>
      <c r="C872" s="79"/>
      <c r="D872" s="63"/>
      <c r="E872" s="63"/>
      <c r="F872" s="63"/>
      <c r="G872" s="63"/>
    </row>
    <row r="873" customFormat="false" ht="15.75" hidden="true" customHeight="true" outlineLevel="0" collapsed="false">
      <c r="A873" s="63" t="n">
        <v>2024</v>
      </c>
      <c r="B873" s="79" t="s">
        <v>108</v>
      </c>
      <c r="C873" s="79"/>
      <c r="D873" s="63"/>
      <c r="E873" s="63"/>
      <c r="F873" s="63"/>
      <c r="G873" s="63"/>
    </row>
    <row r="874" customFormat="false" ht="15.75" hidden="true" customHeight="true" outlineLevel="0" collapsed="false">
      <c r="A874" s="63" t="n">
        <v>2024</v>
      </c>
      <c r="B874" s="79" t="s">
        <v>108</v>
      </c>
      <c r="C874" s="79"/>
      <c r="D874" s="63"/>
      <c r="E874" s="63"/>
      <c r="F874" s="63"/>
      <c r="G874" s="63"/>
    </row>
    <row r="875" customFormat="false" ht="15.75" hidden="true" customHeight="true" outlineLevel="0" collapsed="false">
      <c r="A875" s="63" t="n">
        <v>2024</v>
      </c>
      <c r="B875" s="79" t="s">
        <v>108</v>
      </c>
      <c r="C875" s="79"/>
      <c r="D875" s="63"/>
      <c r="E875" s="63"/>
      <c r="F875" s="63"/>
      <c r="G875" s="63"/>
    </row>
    <row r="876" customFormat="false" ht="15.75" hidden="true" customHeight="true" outlineLevel="0" collapsed="false">
      <c r="A876" s="63" t="n">
        <v>2024</v>
      </c>
      <c r="B876" s="79" t="s">
        <v>108</v>
      </c>
      <c r="C876" s="79"/>
      <c r="D876" s="63"/>
      <c r="E876" s="63"/>
      <c r="F876" s="63"/>
      <c r="G876" s="63"/>
    </row>
    <row r="877" customFormat="false" ht="15.75" hidden="true" customHeight="true" outlineLevel="0" collapsed="false">
      <c r="A877" s="63" t="n">
        <v>2024</v>
      </c>
      <c r="B877" s="79" t="s">
        <v>108</v>
      </c>
      <c r="C877" s="79"/>
      <c r="D877" s="63"/>
      <c r="E877" s="63"/>
      <c r="F877" s="63"/>
      <c r="G877" s="63"/>
    </row>
    <row r="878" customFormat="false" ht="15.75" hidden="true" customHeight="true" outlineLevel="0" collapsed="false">
      <c r="A878" s="63" t="n">
        <v>2024</v>
      </c>
      <c r="B878" s="79" t="s">
        <v>108</v>
      </c>
      <c r="C878" s="79"/>
      <c r="D878" s="63"/>
      <c r="E878" s="63"/>
      <c r="F878" s="63"/>
      <c r="G878" s="63"/>
    </row>
    <row r="879" customFormat="false" ht="15.75" hidden="true" customHeight="true" outlineLevel="0" collapsed="false">
      <c r="A879" s="63" t="n">
        <v>2024</v>
      </c>
      <c r="B879" s="79" t="s">
        <v>108</v>
      </c>
      <c r="C879" s="79"/>
      <c r="D879" s="63"/>
      <c r="E879" s="63"/>
      <c r="F879" s="63"/>
      <c r="G879" s="63"/>
    </row>
    <row r="880" customFormat="false" ht="15.75" hidden="true" customHeight="true" outlineLevel="0" collapsed="false">
      <c r="A880" s="63" t="n">
        <v>2024</v>
      </c>
      <c r="B880" s="79" t="s">
        <v>108</v>
      </c>
      <c r="C880" s="79"/>
      <c r="D880" s="63"/>
      <c r="E880" s="63"/>
      <c r="F880" s="63"/>
      <c r="G880" s="63"/>
    </row>
    <row r="881" customFormat="false" ht="15.75" hidden="true" customHeight="true" outlineLevel="0" collapsed="false">
      <c r="A881" s="63" t="n">
        <v>2024</v>
      </c>
      <c r="B881" s="79" t="s">
        <v>108</v>
      </c>
      <c r="C881" s="79"/>
      <c r="D881" s="63"/>
      <c r="E881" s="63"/>
      <c r="F881" s="63"/>
      <c r="G881" s="63"/>
    </row>
    <row r="882" customFormat="false" ht="15.75" hidden="true" customHeight="true" outlineLevel="0" collapsed="false">
      <c r="A882" s="63" t="n">
        <v>2024</v>
      </c>
      <c r="B882" s="79" t="s">
        <v>108</v>
      </c>
      <c r="C882" s="79"/>
      <c r="D882" s="63"/>
      <c r="E882" s="63"/>
      <c r="F882" s="63"/>
      <c r="G882" s="63"/>
    </row>
    <row r="883" customFormat="false" ht="15.75" hidden="true" customHeight="true" outlineLevel="0" collapsed="false">
      <c r="A883" s="63" t="n">
        <v>2024</v>
      </c>
      <c r="B883" s="79" t="s">
        <v>108</v>
      </c>
      <c r="C883" s="79"/>
      <c r="D883" s="63"/>
      <c r="E883" s="63"/>
      <c r="F883" s="63"/>
      <c r="G883" s="63"/>
    </row>
    <row r="884" customFormat="false" ht="15.75" hidden="true" customHeight="true" outlineLevel="0" collapsed="false">
      <c r="A884" s="63" t="n">
        <v>2024</v>
      </c>
      <c r="B884" s="79" t="s">
        <v>108</v>
      </c>
      <c r="C884" s="79"/>
      <c r="D884" s="63"/>
      <c r="E884" s="63"/>
      <c r="F884" s="63"/>
      <c r="G884" s="63"/>
    </row>
    <row r="885" customFormat="false" ht="15.75" hidden="true" customHeight="true" outlineLevel="0" collapsed="false">
      <c r="A885" s="63" t="n">
        <v>2024</v>
      </c>
      <c r="B885" s="79" t="s">
        <v>108</v>
      </c>
      <c r="C885" s="79"/>
      <c r="D885" s="63"/>
      <c r="E885" s="63"/>
      <c r="F885" s="63"/>
      <c r="G885" s="63"/>
    </row>
    <row r="886" customFormat="false" ht="15.75" hidden="true" customHeight="true" outlineLevel="0" collapsed="false">
      <c r="A886" s="99" t="s">
        <v>422</v>
      </c>
      <c r="B886" s="99"/>
      <c r="C886" s="99"/>
      <c r="D886" s="99"/>
      <c r="E886" s="99"/>
      <c r="F886" s="99"/>
      <c r="G886" s="99"/>
    </row>
    <row r="887" customFormat="false" ht="15.75" hidden="true" customHeight="true" outlineLevel="0" collapsed="false">
      <c r="A887" s="63" t="n">
        <v>2024</v>
      </c>
      <c r="B887" s="79" t="s">
        <v>137</v>
      </c>
      <c r="C887" s="79"/>
      <c r="D887" s="63"/>
      <c r="E887" s="63"/>
      <c r="F887" s="63"/>
      <c r="G887" s="63"/>
    </row>
    <row r="888" customFormat="false" ht="15.75" hidden="true" customHeight="true" outlineLevel="0" collapsed="false">
      <c r="A888" s="63" t="n">
        <v>2024</v>
      </c>
      <c r="B888" s="79" t="s">
        <v>137</v>
      </c>
      <c r="C888" s="79"/>
      <c r="D888" s="63"/>
      <c r="E888" s="63"/>
      <c r="F888" s="63"/>
      <c r="G888" s="63"/>
    </row>
    <row r="889" customFormat="false" ht="15.75" hidden="true" customHeight="true" outlineLevel="0" collapsed="false">
      <c r="A889" s="63" t="n">
        <v>2024</v>
      </c>
      <c r="B889" s="79" t="s">
        <v>137</v>
      </c>
      <c r="C889" s="79"/>
      <c r="D889" s="63"/>
      <c r="E889" s="63"/>
      <c r="F889" s="63"/>
      <c r="G889" s="63"/>
    </row>
    <row r="890" customFormat="false" ht="15.75" hidden="true" customHeight="true" outlineLevel="0" collapsed="false">
      <c r="A890" s="63" t="n">
        <v>2024</v>
      </c>
      <c r="B890" s="79" t="s">
        <v>137</v>
      </c>
      <c r="C890" s="79"/>
      <c r="D890" s="63"/>
      <c r="E890" s="63"/>
      <c r="F890" s="63"/>
      <c r="G890" s="63"/>
    </row>
    <row r="891" customFormat="false" ht="15.75" hidden="true" customHeight="true" outlineLevel="0" collapsed="false">
      <c r="A891" s="63" t="n">
        <v>2024</v>
      </c>
      <c r="B891" s="79" t="s">
        <v>137</v>
      </c>
      <c r="C891" s="79"/>
      <c r="D891" s="63"/>
      <c r="E891" s="63"/>
      <c r="F891" s="63"/>
      <c r="G891" s="63"/>
    </row>
    <row r="892" customFormat="false" ht="15.75" hidden="true" customHeight="true" outlineLevel="0" collapsed="false">
      <c r="A892" s="63" t="n">
        <v>2024</v>
      </c>
      <c r="B892" s="79" t="s">
        <v>137</v>
      </c>
      <c r="C892" s="79"/>
      <c r="D892" s="63"/>
      <c r="E892" s="63"/>
      <c r="F892" s="63"/>
      <c r="G892" s="63"/>
    </row>
    <row r="893" customFormat="false" ht="15.75" hidden="true" customHeight="true" outlineLevel="0" collapsed="false">
      <c r="A893" s="63" t="n">
        <v>2024</v>
      </c>
      <c r="B893" s="79" t="s">
        <v>137</v>
      </c>
      <c r="C893" s="79"/>
      <c r="D893" s="63"/>
      <c r="E893" s="63"/>
      <c r="F893" s="63"/>
      <c r="G893" s="63"/>
    </row>
    <row r="894" customFormat="false" ht="15.75" hidden="true" customHeight="true" outlineLevel="0" collapsed="false">
      <c r="A894" s="63" t="n">
        <v>2024</v>
      </c>
      <c r="B894" s="79" t="s">
        <v>137</v>
      </c>
      <c r="C894" s="79"/>
      <c r="D894" s="63"/>
      <c r="E894" s="63"/>
      <c r="F894" s="63"/>
      <c r="G894" s="63"/>
    </row>
    <row r="895" customFormat="false" ht="15.75" hidden="true" customHeight="true" outlineLevel="0" collapsed="false">
      <c r="A895" s="63" t="n">
        <v>2024</v>
      </c>
      <c r="B895" s="79" t="s">
        <v>137</v>
      </c>
      <c r="C895" s="79"/>
      <c r="D895" s="63"/>
      <c r="E895" s="63"/>
      <c r="F895" s="63"/>
      <c r="G895" s="63"/>
    </row>
    <row r="896" customFormat="false" ht="15.75" hidden="true" customHeight="true" outlineLevel="0" collapsed="false">
      <c r="A896" s="63" t="n">
        <v>2024</v>
      </c>
      <c r="B896" s="79" t="s">
        <v>137</v>
      </c>
      <c r="C896" s="79"/>
      <c r="D896" s="63"/>
      <c r="E896" s="63"/>
      <c r="F896" s="63"/>
      <c r="G896" s="63"/>
    </row>
    <row r="897" customFormat="false" ht="15.75" hidden="true" customHeight="true" outlineLevel="0" collapsed="false">
      <c r="A897" s="63" t="n">
        <v>2024</v>
      </c>
      <c r="B897" s="79" t="s">
        <v>137</v>
      </c>
      <c r="C897" s="79"/>
      <c r="D897" s="63"/>
      <c r="E897" s="63"/>
      <c r="F897" s="63"/>
      <c r="G897" s="63"/>
    </row>
    <row r="898" customFormat="false" ht="15.75" hidden="true" customHeight="true" outlineLevel="0" collapsed="false">
      <c r="A898" s="63" t="n">
        <v>2024</v>
      </c>
      <c r="B898" s="79" t="s">
        <v>137</v>
      </c>
      <c r="C898" s="79"/>
      <c r="D898" s="63"/>
      <c r="E898" s="63"/>
      <c r="F898" s="63"/>
      <c r="G898" s="63"/>
    </row>
    <row r="899" customFormat="false" ht="15.75" hidden="true" customHeight="true" outlineLevel="0" collapsed="false">
      <c r="A899" s="63" t="n">
        <v>2024</v>
      </c>
      <c r="B899" s="79" t="s">
        <v>137</v>
      </c>
      <c r="C899" s="79"/>
      <c r="D899" s="63"/>
      <c r="E899" s="63"/>
      <c r="F899" s="63"/>
      <c r="G899" s="63"/>
    </row>
    <row r="900" customFormat="false" ht="15.75" hidden="true" customHeight="true" outlineLevel="0" collapsed="false">
      <c r="A900" s="63" t="n">
        <v>2024</v>
      </c>
      <c r="B900" s="79" t="s">
        <v>137</v>
      </c>
      <c r="C900" s="79"/>
      <c r="D900" s="63"/>
      <c r="E900" s="63"/>
      <c r="F900" s="63"/>
      <c r="G900" s="63"/>
    </row>
    <row r="901" customFormat="false" ht="15.75" hidden="true" customHeight="true" outlineLevel="0" collapsed="false">
      <c r="A901" s="63" t="n">
        <v>2024</v>
      </c>
      <c r="B901" s="79" t="s">
        <v>137</v>
      </c>
      <c r="C901" s="79"/>
      <c r="D901" s="63"/>
      <c r="E901" s="63"/>
      <c r="F901" s="63"/>
      <c r="G901" s="63"/>
    </row>
    <row r="902" customFormat="false" ht="15.75" hidden="true" customHeight="true" outlineLevel="0" collapsed="false">
      <c r="A902" s="63" t="n">
        <v>2024</v>
      </c>
      <c r="B902" s="79" t="s">
        <v>137</v>
      </c>
      <c r="C902" s="79"/>
      <c r="D902" s="63"/>
      <c r="E902" s="63"/>
      <c r="F902" s="63"/>
      <c r="G902" s="63"/>
    </row>
    <row r="903" customFormat="false" ht="15.75" hidden="true" customHeight="true" outlineLevel="0" collapsed="false">
      <c r="A903" s="63" t="n">
        <v>2024</v>
      </c>
      <c r="B903" s="79" t="s">
        <v>137</v>
      </c>
      <c r="C903" s="79"/>
      <c r="D903" s="63"/>
      <c r="E903" s="63"/>
      <c r="F903" s="63"/>
      <c r="G903" s="63"/>
    </row>
    <row r="904" customFormat="false" ht="15.75" hidden="true" customHeight="true" outlineLevel="0" collapsed="false">
      <c r="A904" s="63" t="n">
        <v>2024</v>
      </c>
      <c r="B904" s="79" t="s">
        <v>137</v>
      </c>
      <c r="C904" s="79"/>
      <c r="D904" s="63"/>
      <c r="E904" s="63"/>
      <c r="F904" s="63"/>
      <c r="G904" s="63"/>
    </row>
    <row r="905" customFormat="false" ht="15.75" hidden="true" customHeight="true" outlineLevel="0" collapsed="false">
      <c r="A905" s="63" t="n">
        <v>2024</v>
      </c>
      <c r="B905" s="79" t="s">
        <v>137</v>
      </c>
      <c r="C905" s="79"/>
      <c r="D905" s="63"/>
      <c r="E905" s="63"/>
      <c r="F905" s="63"/>
      <c r="G905" s="63"/>
    </row>
    <row r="906" customFormat="false" ht="15.75" hidden="true" customHeight="true" outlineLevel="0" collapsed="false">
      <c r="A906" s="63" t="n">
        <v>2024</v>
      </c>
      <c r="B906" s="79" t="s">
        <v>137</v>
      </c>
      <c r="C906" s="79"/>
      <c r="D906" s="63"/>
      <c r="E906" s="63"/>
      <c r="F906" s="63"/>
      <c r="G906" s="63"/>
    </row>
    <row r="907" customFormat="false" ht="15.75" hidden="true" customHeight="true" outlineLevel="0" collapsed="false">
      <c r="A907" s="99" t="s">
        <v>423</v>
      </c>
      <c r="B907" s="99"/>
      <c r="C907" s="99"/>
      <c r="D907" s="99"/>
      <c r="E907" s="99"/>
      <c r="F907" s="99"/>
      <c r="G907" s="99"/>
    </row>
    <row r="908" customFormat="false" ht="15.75" hidden="true" customHeight="true" outlineLevel="0" collapsed="false">
      <c r="A908" s="63" t="n">
        <v>2024</v>
      </c>
      <c r="B908" s="79" t="s">
        <v>166</v>
      </c>
      <c r="C908" s="79"/>
      <c r="D908" s="63"/>
      <c r="E908" s="63"/>
      <c r="F908" s="63"/>
      <c r="G908" s="63"/>
    </row>
    <row r="909" customFormat="false" ht="15.75" hidden="true" customHeight="true" outlineLevel="0" collapsed="false">
      <c r="A909" s="63" t="n">
        <v>2024</v>
      </c>
      <c r="B909" s="79" t="s">
        <v>166</v>
      </c>
      <c r="C909" s="79"/>
      <c r="D909" s="63"/>
      <c r="E909" s="63"/>
      <c r="F909" s="63"/>
      <c r="G909" s="63"/>
    </row>
    <row r="910" customFormat="false" ht="15.75" hidden="true" customHeight="true" outlineLevel="0" collapsed="false">
      <c r="A910" s="63" t="n">
        <v>2024</v>
      </c>
      <c r="B910" s="79" t="s">
        <v>166</v>
      </c>
      <c r="C910" s="79"/>
      <c r="D910" s="63"/>
      <c r="E910" s="63"/>
      <c r="F910" s="63"/>
      <c r="G910" s="63"/>
    </row>
    <row r="911" customFormat="false" ht="15.75" hidden="true" customHeight="true" outlineLevel="0" collapsed="false">
      <c r="A911" s="63" t="n">
        <v>2024</v>
      </c>
      <c r="B911" s="79" t="s">
        <v>166</v>
      </c>
      <c r="C911" s="79"/>
      <c r="D911" s="63"/>
      <c r="E911" s="63"/>
      <c r="F911" s="63"/>
      <c r="G911" s="63"/>
    </row>
    <row r="912" customFormat="false" ht="15.75" hidden="true" customHeight="true" outlineLevel="0" collapsed="false">
      <c r="A912" s="63" t="n">
        <v>2024</v>
      </c>
      <c r="B912" s="79" t="s">
        <v>166</v>
      </c>
      <c r="C912" s="79"/>
      <c r="D912" s="63"/>
      <c r="E912" s="63"/>
      <c r="F912" s="63"/>
      <c r="G912" s="63"/>
    </row>
    <row r="913" customFormat="false" ht="15.75" hidden="true" customHeight="true" outlineLevel="0" collapsed="false">
      <c r="A913" s="63" t="n">
        <v>2024</v>
      </c>
      <c r="B913" s="79" t="s">
        <v>166</v>
      </c>
      <c r="C913" s="79"/>
      <c r="D913" s="63"/>
      <c r="E913" s="63"/>
      <c r="F913" s="63"/>
      <c r="G913" s="63"/>
    </row>
    <row r="914" customFormat="false" ht="15.75" hidden="true" customHeight="true" outlineLevel="0" collapsed="false">
      <c r="A914" s="63" t="n">
        <v>2024</v>
      </c>
      <c r="B914" s="79" t="s">
        <v>166</v>
      </c>
      <c r="C914" s="79"/>
      <c r="D914" s="63"/>
      <c r="E914" s="63"/>
      <c r="F914" s="63"/>
      <c r="G914" s="63"/>
    </row>
    <row r="915" customFormat="false" ht="15.75" hidden="true" customHeight="true" outlineLevel="0" collapsed="false">
      <c r="A915" s="63" t="n">
        <v>2024</v>
      </c>
      <c r="B915" s="79" t="s">
        <v>166</v>
      </c>
      <c r="C915" s="79"/>
      <c r="D915" s="63"/>
      <c r="E915" s="63"/>
      <c r="F915" s="63"/>
      <c r="G915" s="63"/>
    </row>
    <row r="916" customFormat="false" ht="15.75" hidden="true" customHeight="true" outlineLevel="0" collapsed="false">
      <c r="A916" s="63" t="n">
        <v>2024</v>
      </c>
      <c r="B916" s="79" t="s">
        <v>166</v>
      </c>
      <c r="C916" s="79"/>
      <c r="D916" s="63"/>
      <c r="E916" s="63"/>
      <c r="F916" s="63"/>
      <c r="G916" s="63"/>
    </row>
    <row r="917" customFormat="false" ht="15.75" hidden="true" customHeight="true" outlineLevel="0" collapsed="false">
      <c r="A917" s="63" t="n">
        <v>2024</v>
      </c>
      <c r="B917" s="79" t="s">
        <v>166</v>
      </c>
      <c r="C917" s="79"/>
      <c r="D917" s="63"/>
      <c r="E917" s="63"/>
      <c r="F917" s="63"/>
      <c r="G917" s="63"/>
    </row>
    <row r="918" customFormat="false" ht="15.75" hidden="true" customHeight="true" outlineLevel="0" collapsed="false">
      <c r="A918" s="63" t="n">
        <v>2024</v>
      </c>
      <c r="B918" s="79" t="s">
        <v>166</v>
      </c>
      <c r="C918" s="79"/>
      <c r="D918" s="63"/>
      <c r="E918" s="63"/>
      <c r="F918" s="63"/>
      <c r="G918" s="63"/>
    </row>
    <row r="919" customFormat="false" ht="15.75" hidden="true" customHeight="true" outlineLevel="0" collapsed="false">
      <c r="A919" s="63" t="n">
        <v>2024</v>
      </c>
      <c r="B919" s="79" t="s">
        <v>166</v>
      </c>
      <c r="C919" s="79"/>
      <c r="D919" s="63"/>
      <c r="E919" s="63"/>
      <c r="F919" s="63"/>
      <c r="G919" s="63"/>
    </row>
    <row r="920" customFormat="false" ht="15.75" hidden="true" customHeight="true" outlineLevel="0" collapsed="false">
      <c r="A920" s="63" t="n">
        <v>2024</v>
      </c>
      <c r="B920" s="79" t="s">
        <v>166</v>
      </c>
      <c r="C920" s="79"/>
      <c r="D920" s="63"/>
      <c r="E920" s="63"/>
      <c r="F920" s="63"/>
      <c r="G920" s="63"/>
    </row>
    <row r="921" customFormat="false" ht="15.75" hidden="true" customHeight="true" outlineLevel="0" collapsed="false">
      <c r="A921" s="63" t="n">
        <v>2024</v>
      </c>
      <c r="B921" s="79" t="s">
        <v>166</v>
      </c>
      <c r="C921" s="79"/>
      <c r="D921" s="63"/>
      <c r="E921" s="63"/>
      <c r="F921" s="63"/>
      <c r="G921" s="63"/>
    </row>
    <row r="922" customFormat="false" ht="15.75" hidden="true" customHeight="true" outlineLevel="0" collapsed="false">
      <c r="A922" s="63" t="n">
        <v>2024</v>
      </c>
      <c r="B922" s="79" t="s">
        <v>166</v>
      </c>
      <c r="C922" s="79"/>
      <c r="D922" s="63"/>
      <c r="E922" s="63"/>
      <c r="F922" s="63"/>
      <c r="G922" s="63"/>
    </row>
    <row r="923" customFormat="false" ht="15.75" hidden="true" customHeight="true" outlineLevel="0" collapsed="false">
      <c r="A923" s="63" t="n">
        <v>2024</v>
      </c>
      <c r="B923" s="79" t="s">
        <v>166</v>
      </c>
      <c r="C923" s="79"/>
      <c r="D923" s="63"/>
      <c r="E923" s="63"/>
      <c r="F923" s="63"/>
      <c r="G923" s="63"/>
    </row>
    <row r="924" customFormat="false" ht="15.75" hidden="true" customHeight="true" outlineLevel="0" collapsed="false">
      <c r="A924" s="63" t="n">
        <v>2024</v>
      </c>
      <c r="B924" s="79" t="s">
        <v>166</v>
      </c>
      <c r="C924" s="79"/>
      <c r="D924" s="63"/>
      <c r="E924" s="63"/>
      <c r="F924" s="63"/>
      <c r="G924" s="63"/>
    </row>
    <row r="925" customFormat="false" ht="15.75" hidden="true" customHeight="true" outlineLevel="0" collapsed="false">
      <c r="A925" s="63" t="n">
        <v>2024</v>
      </c>
      <c r="B925" s="79" t="s">
        <v>166</v>
      </c>
      <c r="C925" s="79"/>
      <c r="D925" s="63"/>
      <c r="E925" s="63"/>
      <c r="F925" s="63"/>
      <c r="G925" s="63"/>
    </row>
    <row r="926" customFormat="false" ht="15.75" hidden="true" customHeight="true" outlineLevel="0" collapsed="false">
      <c r="A926" s="63" t="n">
        <v>2024</v>
      </c>
      <c r="B926" s="79" t="s">
        <v>166</v>
      </c>
      <c r="C926" s="79"/>
      <c r="D926" s="63"/>
      <c r="E926" s="63"/>
      <c r="F926" s="63"/>
      <c r="G926" s="63"/>
    </row>
    <row r="927" customFormat="false" ht="15.75" hidden="true" customHeight="true" outlineLevel="0" collapsed="false">
      <c r="A927" s="63" t="n">
        <v>2024</v>
      </c>
      <c r="B927" s="79" t="s">
        <v>166</v>
      </c>
      <c r="C927" s="79"/>
      <c r="D927" s="63"/>
      <c r="E927" s="63"/>
      <c r="F927" s="63"/>
      <c r="G927" s="63"/>
    </row>
    <row r="928" customFormat="false" ht="15.75" hidden="true" customHeight="true" outlineLevel="0" collapsed="false">
      <c r="A928" s="99" t="s">
        <v>424</v>
      </c>
      <c r="B928" s="99"/>
      <c r="C928" s="99"/>
      <c r="D928" s="99"/>
      <c r="E928" s="99"/>
      <c r="F928" s="99"/>
      <c r="G928" s="99"/>
    </row>
    <row r="929" customFormat="false" ht="15.75" hidden="true" customHeight="true" outlineLevel="0" collapsed="false">
      <c r="A929" s="63" t="n">
        <v>2024</v>
      </c>
      <c r="B929" s="79" t="s">
        <v>334</v>
      </c>
      <c r="C929" s="79"/>
      <c r="D929" s="63"/>
      <c r="E929" s="63"/>
      <c r="F929" s="63"/>
      <c r="G929" s="63"/>
    </row>
    <row r="930" customFormat="false" ht="15.75" hidden="true" customHeight="true" outlineLevel="0" collapsed="false">
      <c r="A930" s="63" t="n">
        <v>2024</v>
      </c>
      <c r="B930" s="79" t="s">
        <v>334</v>
      </c>
      <c r="C930" s="79"/>
      <c r="D930" s="63"/>
      <c r="E930" s="63"/>
      <c r="F930" s="63"/>
      <c r="G930" s="63"/>
    </row>
    <row r="931" customFormat="false" ht="15.75" hidden="true" customHeight="true" outlineLevel="0" collapsed="false">
      <c r="A931" s="63" t="n">
        <v>2024</v>
      </c>
      <c r="B931" s="79" t="s">
        <v>334</v>
      </c>
      <c r="C931" s="79"/>
      <c r="D931" s="63"/>
      <c r="E931" s="63"/>
      <c r="F931" s="63"/>
      <c r="G931" s="63"/>
    </row>
    <row r="932" customFormat="false" ht="15.75" hidden="true" customHeight="true" outlineLevel="0" collapsed="false">
      <c r="A932" s="63" t="n">
        <v>2024</v>
      </c>
      <c r="B932" s="79" t="s">
        <v>334</v>
      </c>
      <c r="C932" s="79"/>
      <c r="D932" s="63"/>
      <c r="E932" s="63"/>
      <c r="F932" s="63"/>
      <c r="G932" s="63"/>
    </row>
    <row r="933" customFormat="false" ht="15.75" hidden="true" customHeight="true" outlineLevel="0" collapsed="false">
      <c r="A933" s="63" t="n">
        <v>2024</v>
      </c>
      <c r="B933" s="79" t="s">
        <v>334</v>
      </c>
      <c r="C933" s="79"/>
      <c r="D933" s="63"/>
      <c r="E933" s="63"/>
      <c r="F933" s="63"/>
      <c r="G933" s="63"/>
    </row>
    <row r="934" customFormat="false" ht="15.75" hidden="true" customHeight="true" outlineLevel="0" collapsed="false">
      <c r="A934" s="63" t="n">
        <v>2024</v>
      </c>
      <c r="B934" s="79" t="s">
        <v>334</v>
      </c>
      <c r="C934" s="79"/>
      <c r="D934" s="63"/>
      <c r="E934" s="63"/>
      <c r="F934" s="63"/>
      <c r="G934" s="63"/>
    </row>
    <row r="935" customFormat="false" ht="15.75" hidden="true" customHeight="true" outlineLevel="0" collapsed="false">
      <c r="A935" s="63" t="n">
        <v>2024</v>
      </c>
      <c r="B935" s="79" t="s">
        <v>334</v>
      </c>
      <c r="C935" s="79"/>
      <c r="D935" s="63"/>
      <c r="E935" s="63"/>
      <c r="F935" s="63"/>
      <c r="G935" s="63"/>
    </row>
    <row r="936" customFormat="false" ht="15.75" hidden="true" customHeight="true" outlineLevel="0" collapsed="false">
      <c r="A936" s="63" t="n">
        <v>2024</v>
      </c>
      <c r="B936" s="79" t="s">
        <v>334</v>
      </c>
      <c r="C936" s="79"/>
      <c r="D936" s="63"/>
      <c r="E936" s="63"/>
      <c r="F936" s="63"/>
      <c r="G936" s="63"/>
    </row>
    <row r="937" customFormat="false" ht="15.75" hidden="true" customHeight="true" outlineLevel="0" collapsed="false">
      <c r="A937" s="63" t="n">
        <v>2024</v>
      </c>
      <c r="B937" s="79" t="s">
        <v>334</v>
      </c>
      <c r="C937" s="79"/>
      <c r="D937" s="63"/>
      <c r="E937" s="63"/>
      <c r="F937" s="63"/>
      <c r="G937" s="63"/>
    </row>
    <row r="938" customFormat="false" ht="15.75" hidden="true" customHeight="true" outlineLevel="0" collapsed="false">
      <c r="A938" s="63" t="n">
        <v>2024</v>
      </c>
      <c r="B938" s="79" t="s">
        <v>334</v>
      </c>
      <c r="C938" s="79"/>
      <c r="D938" s="63"/>
      <c r="E938" s="63"/>
      <c r="F938" s="63"/>
      <c r="G938" s="63"/>
    </row>
    <row r="939" customFormat="false" ht="15.75" hidden="true" customHeight="true" outlineLevel="0" collapsed="false">
      <c r="A939" s="63" t="n">
        <v>2024</v>
      </c>
      <c r="B939" s="79" t="s">
        <v>334</v>
      </c>
      <c r="C939" s="79"/>
      <c r="D939" s="63"/>
      <c r="E939" s="63"/>
      <c r="F939" s="63"/>
      <c r="G939" s="63"/>
    </row>
    <row r="940" customFormat="false" ht="15.75" hidden="true" customHeight="true" outlineLevel="0" collapsed="false">
      <c r="A940" s="63" t="n">
        <v>2024</v>
      </c>
      <c r="B940" s="79" t="s">
        <v>334</v>
      </c>
      <c r="C940" s="79"/>
      <c r="D940" s="63"/>
      <c r="E940" s="63"/>
      <c r="F940" s="63"/>
      <c r="G940" s="63"/>
    </row>
    <row r="941" customFormat="false" ht="15.75" hidden="true" customHeight="true" outlineLevel="0" collapsed="false">
      <c r="A941" s="63" t="n">
        <v>2024</v>
      </c>
      <c r="B941" s="79" t="s">
        <v>334</v>
      </c>
      <c r="C941" s="79"/>
      <c r="D941" s="63"/>
      <c r="E941" s="63"/>
      <c r="F941" s="63"/>
      <c r="G941" s="63"/>
    </row>
    <row r="942" customFormat="false" ht="15.75" hidden="true" customHeight="true" outlineLevel="0" collapsed="false">
      <c r="A942" s="63" t="n">
        <v>2024</v>
      </c>
      <c r="B942" s="79" t="s">
        <v>334</v>
      </c>
      <c r="C942" s="79"/>
      <c r="D942" s="63"/>
      <c r="E942" s="63"/>
      <c r="F942" s="63"/>
      <c r="G942" s="63"/>
    </row>
    <row r="943" customFormat="false" ht="15.75" hidden="true" customHeight="true" outlineLevel="0" collapsed="false">
      <c r="A943" s="63" t="n">
        <v>2024</v>
      </c>
      <c r="B943" s="79" t="s">
        <v>334</v>
      </c>
      <c r="C943" s="79"/>
      <c r="D943" s="63"/>
      <c r="E943" s="63"/>
      <c r="F943" s="63"/>
      <c r="G943" s="63"/>
    </row>
    <row r="944" customFormat="false" ht="15.75" hidden="true" customHeight="true" outlineLevel="0" collapsed="false">
      <c r="A944" s="63" t="n">
        <v>2024</v>
      </c>
      <c r="B944" s="79" t="s">
        <v>334</v>
      </c>
      <c r="C944" s="79"/>
      <c r="D944" s="63"/>
      <c r="E944" s="63"/>
      <c r="F944" s="63"/>
      <c r="G944" s="63"/>
    </row>
    <row r="945" customFormat="false" ht="15.75" hidden="true" customHeight="true" outlineLevel="0" collapsed="false">
      <c r="A945" s="63" t="n">
        <v>2024</v>
      </c>
      <c r="B945" s="79" t="s">
        <v>334</v>
      </c>
      <c r="C945" s="79"/>
      <c r="D945" s="63"/>
      <c r="E945" s="63"/>
      <c r="F945" s="63"/>
      <c r="G945" s="63"/>
    </row>
    <row r="946" customFormat="false" ht="15.75" hidden="true" customHeight="true" outlineLevel="0" collapsed="false">
      <c r="A946" s="63" t="n">
        <v>2024</v>
      </c>
      <c r="B946" s="79" t="s">
        <v>334</v>
      </c>
      <c r="C946" s="79"/>
      <c r="D946" s="63"/>
      <c r="E946" s="63"/>
      <c r="F946" s="63"/>
      <c r="G946" s="63"/>
    </row>
    <row r="947" customFormat="false" ht="15.75" hidden="true" customHeight="true" outlineLevel="0" collapsed="false">
      <c r="A947" s="63" t="n">
        <v>2024</v>
      </c>
      <c r="B947" s="79" t="s">
        <v>334</v>
      </c>
      <c r="C947" s="79"/>
      <c r="D947" s="63"/>
      <c r="E947" s="63"/>
      <c r="F947" s="63"/>
      <c r="G947" s="63"/>
    </row>
    <row r="948" customFormat="false" ht="15.75" hidden="true" customHeight="true" outlineLevel="0" collapsed="false">
      <c r="A948" s="63" t="n">
        <v>2024</v>
      </c>
      <c r="B948" s="79" t="s">
        <v>334</v>
      </c>
      <c r="C948" s="79"/>
      <c r="D948" s="63"/>
      <c r="E948" s="63"/>
      <c r="F948" s="63"/>
      <c r="G948" s="63"/>
    </row>
    <row r="949" customFormat="false" ht="15.75" hidden="true" customHeight="true" outlineLevel="0" collapsed="false">
      <c r="A949" s="99" t="s">
        <v>425</v>
      </c>
      <c r="B949" s="99"/>
      <c r="C949" s="99"/>
      <c r="D949" s="99"/>
      <c r="E949" s="99"/>
      <c r="F949" s="99"/>
      <c r="G949" s="99"/>
    </row>
    <row r="950" customFormat="false" ht="15.75" hidden="true" customHeight="true" outlineLevel="0" collapsed="false">
      <c r="A950" s="63" t="n">
        <v>2024</v>
      </c>
      <c r="B950" s="79" t="s">
        <v>218</v>
      </c>
      <c r="C950" s="79"/>
      <c r="D950" s="63"/>
      <c r="E950" s="63"/>
      <c r="F950" s="63"/>
      <c r="G950" s="63"/>
    </row>
    <row r="951" customFormat="false" ht="15.75" hidden="true" customHeight="true" outlineLevel="0" collapsed="false">
      <c r="A951" s="63" t="n">
        <v>2024</v>
      </c>
      <c r="B951" s="79" t="s">
        <v>218</v>
      </c>
      <c r="C951" s="79"/>
      <c r="D951" s="63"/>
      <c r="E951" s="63"/>
      <c r="F951" s="63"/>
      <c r="G951" s="63"/>
    </row>
    <row r="952" customFormat="false" ht="15.75" hidden="true" customHeight="true" outlineLevel="0" collapsed="false">
      <c r="A952" s="63" t="n">
        <v>2024</v>
      </c>
      <c r="B952" s="79" t="s">
        <v>218</v>
      </c>
      <c r="C952" s="79"/>
      <c r="D952" s="63"/>
      <c r="E952" s="63"/>
      <c r="F952" s="63"/>
      <c r="G952" s="63"/>
    </row>
    <row r="953" customFormat="false" ht="15.75" hidden="true" customHeight="true" outlineLevel="0" collapsed="false">
      <c r="A953" s="63" t="n">
        <v>2024</v>
      </c>
      <c r="B953" s="79" t="s">
        <v>218</v>
      </c>
      <c r="C953" s="79"/>
      <c r="D953" s="63"/>
      <c r="E953" s="63"/>
      <c r="F953" s="63"/>
      <c r="G953" s="63"/>
    </row>
    <row r="954" customFormat="false" ht="15.75" hidden="true" customHeight="true" outlineLevel="0" collapsed="false">
      <c r="A954" s="63" t="n">
        <v>2024</v>
      </c>
      <c r="B954" s="79" t="s">
        <v>218</v>
      </c>
      <c r="C954" s="79"/>
      <c r="D954" s="63"/>
      <c r="E954" s="63"/>
      <c r="F954" s="63"/>
      <c r="G954" s="63"/>
    </row>
    <row r="955" customFormat="false" ht="15.75" hidden="true" customHeight="true" outlineLevel="0" collapsed="false">
      <c r="A955" s="63" t="n">
        <v>2024</v>
      </c>
      <c r="B955" s="79" t="s">
        <v>218</v>
      </c>
      <c r="C955" s="79"/>
      <c r="D955" s="63"/>
      <c r="E955" s="63"/>
      <c r="F955" s="63"/>
      <c r="G955" s="63"/>
    </row>
    <row r="956" customFormat="false" ht="15.75" hidden="true" customHeight="true" outlineLevel="0" collapsed="false">
      <c r="A956" s="63" t="n">
        <v>2024</v>
      </c>
      <c r="B956" s="79" t="s">
        <v>218</v>
      </c>
      <c r="C956" s="79"/>
      <c r="D956" s="63"/>
      <c r="E956" s="63"/>
      <c r="F956" s="63"/>
      <c r="G956" s="63"/>
    </row>
    <row r="957" customFormat="false" ht="15.75" hidden="true" customHeight="true" outlineLevel="0" collapsed="false">
      <c r="A957" s="63" t="n">
        <v>2024</v>
      </c>
      <c r="B957" s="79" t="s">
        <v>218</v>
      </c>
      <c r="C957" s="79"/>
      <c r="D957" s="63"/>
      <c r="E957" s="63"/>
      <c r="F957" s="63"/>
      <c r="G957" s="63"/>
    </row>
    <row r="958" customFormat="false" ht="15.75" hidden="true" customHeight="true" outlineLevel="0" collapsed="false">
      <c r="A958" s="63" t="n">
        <v>2024</v>
      </c>
      <c r="B958" s="79" t="s">
        <v>218</v>
      </c>
      <c r="C958" s="79"/>
      <c r="D958" s="63"/>
      <c r="E958" s="63"/>
      <c r="F958" s="63"/>
      <c r="G958" s="63"/>
    </row>
    <row r="959" customFormat="false" ht="15.75" hidden="true" customHeight="true" outlineLevel="0" collapsed="false">
      <c r="A959" s="63" t="n">
        <v>2024</v>
      </c>
      <c r="B959" s="79" t="s">
        <v>218</v>
      </c>
      <c r="C959" s="79"/>
      <c r="D959" s="63"/>
      <c r="E959" s="63"/>
      <c r="F959" s="63"/>
      <c r="G959" s="63"/>
    </row>
    <row r="960" customFormat="false" ht="15.75" hidden="true" customHeight="true" outlineLevel="0" collapsed="false">
      <c r="A960" s="63" t="n">
        <v>2024</v>
      </c>
      <c r="B960" s="79" t="s">
        <v>218</v>
      </c>
      <c r="C960" s="79"/>
      <c r="D960" s="63"/>
      <c r="E960" s="63"/>
      <c r="F960" s="63"/>
      <c r="G960" s="63"/>
    </row>
    <row r="961" customFormat="false" ht="15.75" hidden="true" customHeight="true" outlineLevel="0" collapsed="false">
      <c r="A961" s="63" t="n">
        <v>2024</v>
      </c>
      <c r="B961" s="79" t="s">
        <v>218</v>
      </c>
      <c r="C961" s="79"/>
      <c r="D961" s="63"/>
      <c r="E961" s="63"/>
      <c r="F961" s="63"/>
      <c r="G961" s="63"/>
    </row>
    <row r="962" customFormat="false" ht="15.75" hidden="true" customHeight="true" outlineLevel="0" collapsed="false">
      <c r="A962" s="63" t="n">
        <v>2024</v>
      </c>
      <c r="B962" s="79" t="s">
        <v>218</v>
      </c>
      <c r="C962" s="79"/>
      <c r="D962" s="63"/>
      <c r="E962" s="63"/>
      <c r="F962" s="63"/>
      <c r="G962" s="63"/>
    </row>
    <row r="963" customFormat="false" ht="15.75" hidden="true" customHeight="true" outlineLevel="0" collapsed="false">
      <c r="A963" s="63" t="n">
        <v>2024</v>
      </c>
      <c r="B963" s="79" t="s">
        <v>218</v>
      </c>
      <c r="C963" s="79"/>
      <c r="D963" s="63"/>
      <c r="E963" s="63"/>
      <c r="F963" s="63"/>
      <c r="G963" s="63"/>
    </row>
    <row r="964" customFormat="false" ht="15.75" hidden="true" customHeight="true" outlineLevel="0" collapsed="false">
      <c r="A964" s="63" t="n">
        <v>2024</v>
      </c>
      <c r="B964" s="79" t="s">
        <v>218</v>
      </c>
      <c r="C964" s="79"/>
      <c r="D964" s="63"/>
      <c r="E964" s="63"/>
      <c r="F964" s="63"/>
      <c r="G964" s="63"/>
    </row>
    <row r="965" customFormat="false" ht="15.75" hidden="true" customHeight="true" outlineLevel="0" collapsed="false">
      <c r="A965" s="63" t="n">
        <v>2024</v>
      </c>
      <c r="B965" s="79" t="s">
        <v>218</v>
      </c>
      <c r="C965" s="79"/>
      <c r="D965" s="63"/>
      <c r="E965" s="63"/>
      <c r="F965" s="63"/>
      <c r="G965" s="63"/>
    </row>
    <row r="966" customFormat="false" ht="15.75" hidden="true" customHeight="true" outlineLevel="0" collapsed="false">
      <c r="A966" s="63" t="n">
        <v>2024</v>
      </c>
      <c r="B966" s="79" t="s">
        <v>218</v>
      </c>
      <c r="C966" s="79"/>
      <c r="D966" s="63"/>
      <c r="E966" s="63"/>
      <c r="F966" s="63"/>
      <c r="G966" s="63"/>
    </row>
    <row r="967" customFormat="false" ht="15.75" hidden="true" customHeight="true" outlineLevel="0" collapsed="false">
      <c r="A967" s="63" t="n">
        <v>2024</v>
      </c>
      <c r="B967" s="79" t="s">
        <v>218</v>
      </c>
      <c r="C967" s="79"/>
      <c r="D967" s="63"/>
      <c r="E967" s="63"/>
      <c r="F967" s="63"/>
      <c r="G967" s="63"/>
    </row>
    <row r="968" customFormat="false" ht="15.75" hidden="true" customHeight="true" outlineLevel="0" collapsed="false">
      <c r="A968" s="63" t="n">
        <v>2024</v>
      </c>
      <c r="B968" s="79" t="s">
        <v>218</v>
      </c>
      <c r="C968" s="79"/>
      <c r="D968" s="63"/>
      <c r="E968" s="63"/>
      <c r="F968" s="63"/>
      <c r="G968" s="63"/>
    </row>
    <row r="969" customFormat="false" ht="15.75" hidden="true" customHeight="true" outlineLevel="0" collapsed="false">
      <c r="A969" s="63" t="n">
        <v>2024</v>
      </c>
      <c r="B969" s="79" t="s">
        <v>218</v>
      </c>
      <c r="C969" s="79"/>
      <c r="D969" s="63"/>
      <c r="E969" s="63"/>
      <c r="F969" s="63"/>
      <c r="G969" s="63"/>
    </row>
    <row r="970" customFormat="false" ht="15.75" hidden="true" customHeight="true" outlineLevel="0" collapsed="false">
      <c r="A970" s="99" t="s">
        <v>426</v>
      </c>
      <c r="B970" s="99"/>
      <c r="C970" s="99"/>
      <c r="D970" s="99"/>
      <c r="E970" s="99"/>
      <c r="F970" s="99"/>
      <c r="G970" s="99"/>
    </row>
    <row r="971" customFormat="false" ht="15.75" hidden="true" customHeight="true" outlineLevel="0" collapsed="false">
      <c r="A971" s="63" t="n">
        <v>2024</v>
      </c>
      <c r="B971" s="79" t="s">
        <v>244</v>
      </c>
      <c r="C971" s="79"/>
      <c r="D971" s="63"/>
      <c r="E971" s="63"/>
      <c r="F971" s="63"/>
      <c r="G971" s="63"/>
    </row>
    <row r="972" customFormat="false" ht="15.75" hidden="true" customHeight="true" outlineLevel="0" collapsed="false">
      <c r="A972" s="63" t="n">
        <v>2024</v>
      </c>
      <c r="B972" s="79" t="s">
        <v>244</v>
      </c>
      <c r="C972" s="79"/>
      <c r="D972" s="63"/>
      <c r="E972" s="63"/>
      <c r="F972" s="63"/>
      <c r="G972" s="63"/>
    </row>
    <row r="973" customFormat="false" ht="15.75" hidden="true" customHeight="true" outlineLevel="0" collapsed="false">
      <c r="A973" s="63" t="n">
        <v>2024</v>
      </c>
      <c r="B973" s="79" t="s">
        <v>244</v>
      </c>
      <c r="C973" s="79"/>
      <c r="D973" s="63"/>
      <c r="E973" s="63"/>
      <c r="F973" s="63"/>
      <c r="G973" s="63"/>
    </row>
    <row r="974" customFormat="false" ht="15.75" hidden="true" customHeight="true" outlineLevel="0" collapsed="false">
      <c r="A974" s="63" t="n">
        <v>2024</v>
      </c>
      <c r="B974" s="79" t="s">
        <v>244</v>
      </c>
      <c r="C974" s="79"/>
      <c r="D974" s="63"/>
      <c r="E974" s="63"/>
      <c r="F974" s="63"/>
      <c r="G974" s="63"/>
    </row>
    <row r="975" customFormat="false" ht="15.75" hidden="true" customHeight="true" outlineLevel="0" collapsed="false">
      <c r="A975" s="63" t="n">
        <v>2024</v>
      </c>
      <c r="B975" s="79" t="s">
        <v>244</v>
      </c>
      <c r="C975" s="79"/>
      <c r="D975" s="63"/>
      <c r="E975" s="63"/>
      <c r="F975" s="63"/>
      <c r="G975" s="63"/>
    </row>
    <row r="976" customFormat="false" ht="15.75" hidden="true" customHeight="true" outlineLevel="0" collapsed="false">
      <c r="A976" s="63" t="n">
        <v>2024</v>
      </c>
      <c r="B976" s="79" t="s">
        <v>244</v>
      </c>
      <c r="C976" s="79"/>
      <c r="D976" s="63"/>
      <c r="E976" s="63"/>
      <c r="F976" s="63"/>
      <c r="G976" s="63"/>
    </row>
    <row r="977" customFormat="false" ht="15.75" hidden="true" customHeight="true" outlineLevel="0" collapsed="false">
      <c r="A977" s="63" t="n">
        <v>2024</v>
      </c>
      <c r="B977" s="79" t="s">
        <v>244</v>
      </c>
      <c r="C977" s="79"/>
      <c r="D977" s="63"/>
      <c r="E977" s="63"/>
      <c r="F977" s="63"/>
      <c r="G977" s="63"/>
    </row>
    <row r="978" customFormat="false" ht="15.75" hidden="true" customHeight="true" outlineLevel="0" collapsed="false">
      <c r="A978" s="63" t="n">
        <v>2024</v>
      </c>
      <c r="B978" s="79" t="s">
        <v>244</v>
      </c>
      <c r="C978" s="79"/>
      <c r="D978" s="63"/>
      <c r="E978" s="63"/>
      <c r="F978" s="63"/>
      <c r="G978" s="63"/>
    </row>
    <row r="979" customFormat="false" ht="15.75" hidden="true" customHeight="true" outlineLevel="0" collapsed="false">
      <c r="A979" s="63" t="n">
        <v>2024</v>
      </c>
      <c r="B979" s="79" t="s">
        <v>244</v>
      </c>
      <c r="C979" s="79"/>
      <c r="D979" s="63"/>
      <c r="E979" s="63"/>
      <c r="F979" s="63"/>
      <c r="G979" s="63"/>
    </row>
    <row r="980" customFormat="false" ht="15.75" hidden="true" customHeight="true" outlineLevel="0" collapsed="false">
      <c r="A980" s="63" t="n">
        <v>2024</v>
      </c>
      <c r="B980" s="79" t="s">
        <v>244</v>
      </c>
      <c r="C980" s="79"/>
      <c r="D980" s="63"/>
      <c r="E980" s="63"/>
      <c r="F980" s="63"/>
      <c r="G980" s="63"/>
    </row>
    <row r="981" customFormat="false" ht="15.75" hidden="true" customHeight="true" outlineLevel="0" collapsed="false">
      <c r="A981" s="63" t="n">
        <v>2024</v>
      </c>
      <c r="B981" s="79" t="s">
        <v>244</v>
      </c>
      <c r="C981" s="79"/>
      <c r="D981" s="63"/>
      <c r="E981" s="63"/>
      <c r="F981" s="63"/>
      <c r="G981" s="63"/>
    </row>
    <row r="982" customFormat="false" ht="15.75" hidden="true" customHeight="true" outlineLevel="0" collapsed="false">
      <c r="A982" s="63" t="n">
        <v>2024</v>
      </c>
      <c r="B982" s="79" t="s">
        <v>244</v>
      </c>
      <c r="C982" s="79"/>
      <c r="D982" s="63"/>
      <c r="E982" s="63"/>
      <c r="F982" s="63"/>
      <c r="G982" s="63"/>
    </row>
    <row r="983" customFormat="false" ht="15.75" hidden="true" customHeight="true" outlineLevel="0" collapsed="false">
      <c r="A983" s="63" t="n">
        <v>2024</v>
      </c>
      <c r="B983" s="79" t="s">
        <v>244</v>
      </c>
      <c r="C983" s="79"/>
      <c r="D983" s="63"/>
      <c r="E983" s="63"/>
      <c r="F983" s="63"/>
      <c r="G983" s="63"/>
    </row>
    <row r="984" customFormat="false" ht="15.75" hidden="true" customHeight="true" outlineLevel="0" collapsed="false">
      <c r="A984" s="63" t="n">
        <v>2024</v>
      </c>
      <c r="B984" s="79" t="s">
        <v>244</v>
      </c>
      <c r="C984" s="79"/>
      <c r="D984" s="63"/>
      <c r="E984" s="63"/>
      <c r="F984" s="63"/>
      <c r="G984" s="63"/>
    </row>
    <row r="985" customFormat="false" ht="15.75" hidden="true" customHeight="true" outlineLevel="0" collapsed="false">
      <c r="A985" s="63" t="n">
        <v>2024</v>
      </c>
      <c r="B985" s="79" t="s">
        <v>244</v>
      </c>
      <c r="C985" s="79"/>
      <c r="D985" s="63"/>
      <c r="E985" s="63"/>
      <c r="F985" s="63"/>
      <c r="G985" s="63"/>
    </row>
    <row r="986" customFormat="false" ht="15.75" hidden="true" customHeight="true" outlineLevel="0" collapsed="false">
      <c r="A986" s="63" t="n">
        <v>2024</v>
      </c>
      <c r="B986" s="79" t="s">
        <v>244</v>
      </c>
      <c r="C986" s="79"/>
      <c r="D986" s="63"/>
      <c r="E986" s="63"/>
      <c r="F986" s="63"/>
      <c r="G986" s="63"/>
    </row>
    <row r="987" customFormat="false" ht="15.75" hidden="true" customHeight="true" outlineLevel="0" collapsed="false">
      <c r="A987" s="63" t="n">
        <v>2024</v>
      </c>
      <c r="B987" s="79" t="s">
        <v>244</v>
      </c>
      <c r="C987" s="79"/>
      <c r="D987" s="63"/>
      <c r="E987" s="63"/>
      <c r="F987" s="63"/>
      <c r="G987" s="63"/>
    </row>
    <row r="988" customFormat="false" ht="15.75" hidden="true" customHeight="true" outlineLevel="0" collapsed="false">
      <c r="A988" s="63" t="n">
        <v>2024</v>
      </c>
      <c r="B988" s="79" t="s">
        <v>244</v>
      </c>
      <c r="C988" s="79"/>
      <c r="D988" s="63"/>
      <c r="E988" s="63"/>
      <c r="F988" s="63"/>
      <c r="G988" s="63"/>
    </row>
    <row r="989" customFormat="false" ht="15.75" hidden="true" customHeight="true" outlineLevel="0" collapsed="false">
      <c r="A989" s="63" t="n">
        <v>2024</v>
      </c>
      <c r="B989" s="79" t="s">
        <v>244</v>
      </c>
      <c r="C989" s="79"/>
      <c r="D989" s="63"/>
      <c r="E989" s="63"/>
      <c r="F989" s="63"/>
      <c r="G989" s="63"/>
    </row>
    <row r="990" customFormat="false" ht="15.75" hidden="true" customHeight="true" outlineLevel="0" collapsed="false">
      <c r="A990" s="63" t="n">
        <v>2024</v>
      </c>
      <c r="B990" s="79" t="s">
        <v>244</v>
      </c>
      <c r="C990" s="79"/>
      <c r="D990" s="63"/>
      <c r="E990" s="63"/>
      <c r="F990" s="63"/>
      <c r="G990" s="63"/>
    </row>
    <row r="991" customFormat="false" ht="15.75" hidden="true" customHeight="true" outlineLevel="0" collapsed="false">
      <c r="A991" s="99" t="s">
        <v>427</v>
      </c>
      <c r="B991" s="99"/>
      <c r="C991" s="99"/>
      <c r="D991" s="99"/>
      <c r="E991" s="99"/>
      <c r="F991" s="99"/>
      <c r="G991" s="99"/>
    </row>
    <row r="992" customFormat="false" ht="15.75" hidden="true" customHeight="true" outlineLevel="0" collapsed="false">
      <c r="A992" s="63" t="n">
        <v>2024</v>
      </c>
      <c r="B992" s="79" t="s">
        <v>270</v>
      </c>
      <c r="C992" s="79"/>
      <c r="D992" s="63"/>
      <c r="E992" s="63"/>
      <c r="F992" s="63"/>
      <c r="G992" s="63"/>
    </row>
    <row r="993" customFormat="false" ht="15.75" hidden="true" customHeight="true" outlineLevel="0" collapsed="false">
      <c r="A993" s="63" t="n">
        <v>2024</v>
      </c>
      <c r="B993" s="79" t="s">
        <v>270</v>
      </c>
      <c r="C993" s="79"/>
      <c r="D993" s="63"/>
      <c r="E993" s="63"/>
      <c r="F993" s="63"/>
      <c r="G993" s="63"/>
    </row>
    <row r="994" customFormat="false" ht="15.75" hidden="true" customHeight="true" outlineLevel="0" collapsed="false">
      <c r="A994" s="63" t="n">
        <v>2024</v>
      </c>
      <c r="B994" s="79" t="s">
        <v>270</v>
      </c>
      <c r="C994" s="79"/>
      <c r="D994" s="63"/>
      <c r="E994" s="63"/>
      <c r="F994" s="63"/>
      <c r="G994" s="63"/>
    </row>
    <row r="995" customFormat="false" ht="15.75" hidden="true" customHeight="true" outlineLevel="0" collapsed="false">
      <c r="A995" s="63" t="n">
        <v>2024</v>
      </c>
      <c r="B995" s="79" t="s">
        <v>270</v>
      </c>
      <c r="C995" s="79"/>
      <c r="D995" s="63"/>
      <c r="E995" s="63"/>
      <c r="F995" s="63"/>
      <c r="G995" s="63"/>
    </row>
    <row r="996" customFormat="false" ht="15.75" hidden="true" customHeight="true" outlineLevel="0" collapsed="false">
      <c r="A996" s="63" t="n">
        <v>2024</v>
      </c>
      <c r="B996" s="79" t="s">
        <v>270</v>
      </c>
      <c r="C996" s="79"/>
      <c r="D996" s="63"/>
      <c r="E996" s="63"/>
      <c r="F996" s="63"/>
      <c r="G996" s="63"/>
    </row>
    <row r="997" customFormat="false" ht="15.75" hidden="true" customHeight="true" outlineLevel="0" collapsed="false">
      <c r="A997" s="63" t="n">
        <v>2024</v>
      </c>
      <c r="B997" s="79" t="s">
        <v>270</v>
      </c>
      <c r="C997" s="79"/>
      <c r="D997" s="63"/>
      <c r="E997" s="63"/>
      <c r="F997" s="63"/>
      <c r="G997" s="63"/>
    </row>
    <row r="998" customFormat="false" ht="15.75" hidden="true" customHeight="true" outlineLevel="0" collapsed="false">
      <c r="A998" s="63" t="n">
        <v>2024</v>
      </c>
      <c r="B998" s="79" t="s">
        <v>270</v>
      </c>
      <c r="C998" s="79"/>
      <c r="D998" s="63"/>
      <c r="E998" s="63"/>
      <c r="F998" s="63"/>
      <c r="G998" s="63"/>
    </row>
    <row r="999" customFormat="false" ht="15.75" hidden="true" customHeight="true" outlineLevel="0" collapsed="false">
      <c r="A999" s="63" t="n">
        <v>2024</v>
      </c>
      <c r="B999" s="79" t="s">
        <v>270</v>
      </c>
      <c r="C999" s="79"/>
      <c r="D999" s="63"/>
      <c r="E999" s="63"/>
      <c r="F999" s="63"/>
      <c r="G999" s="63"/>
    </row>
    <row r="1000" customFormat="false" ht="15.75" hidden="true" customHeight="true" outlineLevel="0" collapsed="false">
      <c r="A1000" s="63" t="n">
        <v>2024</v>
      </c>
      <c r="B1000" s="79" t="s">
        <v>270</v>
      </c>
      <c r="C1000" s="79"/>
      <c r="D1000" s="63"/>
      <c r="E1000" s="63"/>
      <c r="F1000" s="63"/>
      <c r="G1000" s="63"/>
    </row>
    <row r="1001" customFormat="false" ht="15.75" hidden="true" customHeight="true" outlineLevel="0" collapsed="false">
      <c r="A1001" s="63" t="n">
        <v>2024</v>
      </c>
      <c r="B1001" s="79" t="s">
        <v>270</v>
      </c>
      <c r="C1001" s="79"/>
      <c r="D1001" s="63"/>
      <c r="E1001" s="63"/>
      <c r="F1001" s="63"/>
      <c r="G1001" s="63"/>
    </row>
    <row r="1002" customFormat="false" ht="15.75" hidden="true" customHeight="true" outlineLevel="0" collapsed="false">
      <c r="A1002" s="63" t="n">
        <v>2024</v>
      </c>
      <c r="B1002" s="79" t="s">
        <v>270</v>
      </c>
      <c r="C1002" s="79"/>
      <c r="D1002" s="63"/>
      <c r="E1002" s="63"/>
      <c r="F1002" s="63"/>
      <c r="G1002" s="63"/>
    </row>
    <row r="1003" customFormat="false" ht="15.75" hidden="true" customHeight="true" outlineLevel="0" collapsed="false">
      <c r="A1003" s="63" t="n">
        <v>2024</v>
      </c>
      <c r="B1003" s="79" t="s">
        <v>270</v>
      </c>
      <c r="C1003" s="79"/>
      <c r="D1003" s="63"/>
      <c r="E1003" s="63"/>
      <c r="F1003" s="63"/>
      <c r="G1003" s="63"/>
    </row>
    <row r="1004" customFormat="false" ht="15.75" hidden="true" customHeight="true" outlineLevel="0" collapsed="false">
      <c r="A1004" s="63" t="n">
        <v>2024</v>
      </c>
      <c r="B1004" s="79" t="s">
        <v>270</v>
      </c>
      <c r="C1004" s="79"/>
      <c r="D1004" s="63"/>
      <c r="E1004" s="63"/>
      <c r="F1004" s="63"/>
      <c r="G1004" s="63"/>
    </row>
    <row r="1005" customFormat="false" ht="15.75" hidden="true" customHeight="true" outlineLevel="0" collapsed="false">
      <c r="A1005" s="63" t="n">
        <v>2024</v>
      </c>
      <c r="B1005" s="79" t="s">
        <v>270</v>
      </c>
      <c r="C1005" s="79"/>
      <c r="D1005" s="63"/>
      <c r="E1005" s="63"/>
      <c r="F1005" s="63"/>
      <c r="G1005" s="63"/>
    </row>
    <row r="1006" customFormat="false" ht="15.75" hidden="true" customHeight="true" outlineLevel="0" collapsed="false">
      <c r="A1006" s="63" t="n">
        <v>2024</v>
      </c>
      <c r="B1006" s="79" t="s">
        <v>270</v>
      </c>
      <c r="C1006" s="79"/>
      <c r="D1006" s="63"/>
      <c r="E1006" s="63"/>
      <c r="F1006" s="63"/>
      <c r="G1006" s="63"/>
    </row>
    <row r="1007" customFormat="false" ht="15.75" hidden="true" customHeight="true" outlineLevel="0" collapsed="false">
      <c r="A1007" s="63" t="n">
        <v>2024</v>
      </c>
      <c r="B1007" s="79" t="s">
        <v>270</v>
      </c>
      <c r="C1007" s="79"/>
      <c r="D1007" s="63"/>
      <c r="E1007" s="63"/>
      <c r="F1007" s="63"/>
      <c r="G1007" s="63"/>
    </row>
    <row r="1008" customFormat="false" ht="15.75" hidden="true" customHeight="true" outlineLevel="0" collapsed="false">
      <c r="A1008" s="63" t="n">
        <v>2024</v>
      </c>
      <c r="B1008" s="79" t="s">
        <v>270</v>
      </c>
      <c r="C1008" s="79"/>
      <c r="D1008" s="63"/>
      <c r="E1008" s="63"/>
      <c r="F1008" s="63"/>
      <c r="G1008" s="63"/>
    </row>
    <row r="1009" customFormat="false" ht="15.75" hidden="true" customHeight="true" outlineLevel="0" collapsed="false">
      <c r="A1009" s="63" t="n">
        <v>2024</v>
      </c>
      <c r="B1009" s="79" t="s">
        <v>270</v>
      </c>
      <c r="C1009" s="79"/>
      <c r="D1009" s="63"/>
      <c r="E1009" s="63"/>
      <c r="F1009" s="63"/>
      <c r="G1009" s="63"/>
    </row>
    <row r="1010" customFormat="false" ht="15.75" hidden="true" customHeight="true" outlineLevel="0" collapsed="false">
      <c r="A1010" s="63" t="n">
        <v>2024</v>
      </c>
      <c r="B1010" s="79" t="s">
        <v>270</v>
      </c>
      <c r="C1010" s="79"/>
      <c r="D1010" s="63"/>
      <c r="E1010" s="63"/>
      <c r="F1010" s="63"/>
      <c r="G1010" s="63"/>
    </row>
    <row r="1011" customFormat="false" ht="15.75" hidden="true" customHeight="true" outlineLevel="0" collapsed="false">
      <c r="A1011" s="63" t="n">
        <v>2024</v>
      </c>
      <c r="B1011" s="79" t="s">
        <v>270</v>
      </c>
      <c r="C1011" s="79"/>
      <c r="D1011" s="63"/>
      <c r="E1011" s="63"/>
      <c r="F1011" s="63"/>
      <c r="G1011" s="63"/>
    </row>
    <row r="1012" customFormat="false" ht="15.75" hidden="true" customHeight="true" outlineLevel="0" collapsed="false">
      <c r="A1012" s="99" t="s">
        <v>428</v>
      </c>
      <c r="B1012" s="99"/>
      <c r="C1012" s="99"/>
      <c r="D1012" s="99"/>
      <c r="E1012" s="99"/>
      <c r="F1012" s="99"/>
      <c r="G1012" s="99"/>
    </row>
    <row r="1013" customFormat="false" ht="15.75" hidden="true" customHeight="true" outlineLevel="0" collapsed="false">
      <c r="A1013" s="63" t="n">
        <v>2025</v>
      </c>
      <c r="B1013" s="79" t="s">
        <v>330</v>
      </c>
      <c r="C1013" s="79"/>
      <c r="D1013" s="63"/>
      <c r="E1013" s="63"/>
      <c r="F1013" s="63"/>
      <c r="G1013" s="63"/>
    </row>
    <row r="1014" customFormat="false" ht="15.75" hidden="true" customHeight="true" outlineLevel="0" collapsed="false">
      <c r="A1014" s="63" t="n">
        <v>2025</v>
      </c>
      <c r="B1014" s="79" t="s">
        <v>330</v>
      </c>
      <c r="C1014" s="79"/>
      <c r="D1014" s="63"/>
      <c r="E1014" s="63"/>
      <c r="F1014" s="63"/>
      <c r="G1014" s="63"/>
    </row>
    <row r="1015" customFormat="false" ht="15.75" hidden="true" customHeight="true" outlineLevel="0" collapsed="false">
      <c r="A1015" s="63" t="n">
        <v>2025</v>
      </c>
      <c r="B1015" s="79" t="s">
        <v>330</v>
      </c>
      <c r="C1015" s="79"/>
      <c r="D1015" s="63"/>
      <c r="E1015" s="63"/>
      <c r="F1015" s="63"/>
      <c r="G1015" s="63"/>
    </row>
    <row r="1016" customFormat="false" ht="15.75" hidden="true" customHeight="true" outlineLevel="0" collapsed="false">
      <c r="A1016" s="63" t="n">
        <v>2025</v>
      </c>
      <c r="B1016" s="79" t="s">
        <v>330</v>
      </c>
      <c r="C1016" s="79"/>
      <c r="D1016" s="63"/>
      <c r="E1016" s="63"/>
      <c r="F1016" s="63"/>
      <c r="G1016" s="63"/>
    </row>
    <row r="1017" customFormat="false" ht="15.75" hidden="true" customHeight="true" outlineLevel="0" collapsed="false">
      <c r="A1017" s="63" t="n">
        <v>2025</v>
      </c>
      <c r="B1017" s="79" t="s">
        <v>330</v>
      </c>
      <c r="C1017" s="79"/>
      <c r="D1017" s="63"/>
      <c r="E1017" s="63"/>
      <c r="F1017" s="63"/>
      <c r="G1017" s="63"/>
    </row>
    <row r="1018" customFormat="false" ht="15.75" hidden="true" customHeight="true" outlineLevel="0" collapsed="false">
      <c r="A1018" s="63" t="n">
        <v>2025</v>
      </c>
      <c r="B1018" s="79" t="s">
        <v>330</v>
      </c>
      <c r="C1018" s="79"/>
      <c r="D1018" s="63"/>
      <c r="E1018" s="63"/>
      <c r="F1018" s="63"/>
      <c r="G1018" s="63"/>
    </row>
    <row r="1019" customFormat="false" ht="15.75" hidden="true" customHeight="true" outlineLevel="0" collapsed="false">
      <c r="A1019" s="63" t="n">
        <v>2025</v>
      </c>
      <c r="B1019" s="79" t="s">
        <v>330</v>
      </c>
      <c r="C1019" s="79"/>
      <c r="D1019" s="63"/>
      <c r="E1019" s="63"/>
      <c r="F1019" s="63"/>
      <c r="G1019" s="63"/>
    </row>
    <row r="1020" customFormat="false" ht="15.75" hidden="true" customHeight="true" outlineLevel="0" collapsed="false">
      <c r="A1020" s="63" t="n">
        <v>2025</v>
      </c>
      <c r="B1020" s="79" t="s">
        <v>330</v>
      </c>
      <c r="C1020" s="79"/>
      <c r="D1020" s="63"/>
      <c r="E1020" s="63"/>
      <c r="F1020" s="63"/>
      <c r="G1020" s="63"/>
    </row>
    <row r="1021" customFormat="false" ht="15.75" hidden="true" customHeight="true" outlineLevel="0" collapsed="false">
      <c r="A1021" s="63" t="n">
        <v>2025</v>
      </c>
      <c r="B1021" s="79" t="s">
        <v>330</v>
      </c>
      <c r="C1021" s="79"/>
      <c r="D1021" s="63"/>
      <c r="E1021" s="63"/>
      <c r="F1021" s="63"/>
      <c r="G1021" s="63"/>
    </row>
    <row r="1022" customFormat="false" ht="15.75" hidden="true" customHeight="true" outlineLevel="0" collapsed="false">
      <c r="A1022" s="63" t="n">
        <v>2025</v>
      </c>
      <c r="B1022" s="79" t="s">
        <v>330</v>
      </c>
      <c r="C1022" s="79"/>
      <c r="D1022" s="63"/>
      <c r="E1022" s="63"/>
      <c r="F1022" s="63"/>
      <c r="G1022" s="63"/>
    </row>
    <row r="1023" customFormat="false" ht="15.75" hidden="true" customHeight="true" outlineLevel="0" collapsed="false">
      <c r="A1023" s="63" t="n">
        <v>2025</v>
      </c>
      <c r="B1023" s="79" t="s">
        <v>330</v>
      </c>
      <c r="C1023" s="79"/>
      <c r="D1023" s="63"/>
      <c r="E1023" s="63"/>
      <c r="F1023" s="63"/>
      <c r="G1023" s="63"/>
    </row>
    <row r="1024" customFormat="false" ht="15.75" hidden="true" customHeight="true" outlineLevel="0" collapsed="false">
      <c r="A1024" s="63" t="n">
        <v>2025</v>
      </c>
      <c r="B1024" s="79" t="s">
        <v>330</v>
      </c>
      <c r="C1024" s="79"/>
      <c r="D1024" s="63"/>
      <c r="E1024" s="63"/>
      <c r="F1024" s="63"/>
      <c r="G1024" s="63"/>
    </row>
    <row r="1025" customFormat="false" ht="15.75" hidden="true" customHeight="true" outlineLevel="0" collapsed="false">
      <c r="A1025" s="63" t="n">
        <v>2025</v>
      </c>
      <c r="B1025" s="79" t="s">
        <v>330</v>
      </c>
      <c r="C1025" s="79"/>
      <c r="D1025" s="63"/>
      <c r="E1025" s="63"/>
      <c r="F1025" s="63"/>
      <c r="G1025" s="63"/>
    </row>
    <row r="1026" customFormat="false" ht="15.75" hidden="true" customHeight="true" outlineLevel="0" collapsed="false">
      <c r="A1026" s="63" t="n">
        <v>2025</v>
      </c>
      <c r="B1026" s="79" t="s">
        <v>330</v>
      </c>
      <c r="C1026" s="79"/>
      <c r="D1026" s="63"/>
      <c r="E1026" s="63"/>
      <c r="F1026" s="63"/>
      <c r="G1026" s="63"/>
    </row>
    <row r="1027" customFormat="false" ht="15.75" hidden="true" customHeight="true" outlineLevel="0" collapsed="false">
      <c r="A1027" s="63" t="n">
        <v>2025</v>
      </c>
      <c r="B1027" s="79" t="s">
        <v>330</v>
      </c>
      <c r="C1027" s="79"/>
      <c r="D1027" s="63"/>
      <c r="E1027" s="63"/>
      <c r="F1027" s="63"/>
      <c r="G1027" s="63"/>
    </row>
    <row r="1028" customFormat="false" ht="15.75" hidden="true" customHeight="true" outlineLevel="0" collapsed="false">
      <c r="A1028" s="63" t="n">
        <v>2025</v>
      </c>
      <c r="B1028" s="79" t="s">
        <v>330</v>
      </c>
      <c r="C1028" s="79"/>
      <c r="D1028" s="63"/>
      <c r="E1028" s="63"/>
      <c r="F1028" s="63"/>
      <c r="G1028" s="63"/>
    </row>
    <row r="1029" customFormat="false" ht="15.75" hidden="true" customHeight="true" outlineLevel="0" collapsed="false">
      <c r="A1029" s="63" t="n">
        <v>2025</v>
      </c>
      <c r="B1029" s="79" t="s">
        <v>330</v>
      </c>
      <c r="C1029" s="79"/>
      <c r="D1029" s="63"/>
      <c r="E1029" s="63"/>
      <c r="F1029" s="63"/>
      <c r="G1029" s="63"/>
    </row>
    <row r="1030" customFormat="false" ht="15.75" hidden="true" customHeight="true" outlineLevel="0" collapsed="false">
      <c r="A1030" s="63" t="n">
        <v>2025</v>
      </c>
      <c r="B1030" s="79" t="s">
        <v>330</v>
      </c>
      <c r="C1030" s="79"/>
      <c r="D1030" s="63"/>
      <c r="E1030" s="63"/>
      <c r="F1030" s="63"/>
      <c r="G1030" s="63"/>
    </row>
    <row r="1031" customFormat="false" ht="15.75" hidden="true" customHeight="true" outlineLevel="0" collapsed="false">
      <c r="A1031" s="63" t="n">
        <v>2025</v>
      </c>
      <c r="B1031" s="79" t="s">
        <v>330</v>
      </c>
      <c r="C1031" s="79"/>
      <c r="D1031" s="63"/>
      <c r="E1031" s="63"/>
      <c r="F1031" s="63"/>
      <c r="G1031" s="63"/>
    </row>
    <row r="1032" customFormat="false" ht="15.75" hidden="true" customHeight="true" outlineLevel="0" collapsed="false">
      <c r="A1032" s="63" t="n">
        <v>2025</v>
      </c>
      <c r="B1032" s="79" t="s">
        <v>330</v>
      </c>
      <c r="C1032" s="79"/>
      <c r="D1032" s="63"/>
      <c r="E1032" s="63"/>
      <c r="F1032" s="63"/>
      <c r="G1032" s="63"/>
    </row>
    <row r="1033" customFormat="false" ht="15.75" hidden="true" customHeight="true" outlineLevel="0" collapsed="false">
      <c r="A1033" s="99" t="s">
        <v>429</v>
      </c>
      <c r="B1033" s="99"/>
      <c r="C1033" s="99"/>
      <c r="D1033" s="99"/>
      <c r="E1033" s="99"/>
      <c r="F1033" s="99"/>
      <c r="G1033" s="99"/>
    </row>
    <row r="1034" customFormat="false" ht="15.75" hidden="true" customHeight="true" outlineLevel="0" collapsed="false">
      <c r="A1034" s="63" t="n">
        <v>2025</v>
      </c>
      <c r="B1034" s="79" t="s">
        <v>331</v>
      </c>
      <c r="C1034" s="79"/>
      <c r="D1034" s="63"/>
      <c r="E1034" s="63"/>
      <c r="F1034" s="63"/>
      <c r="G1034" s="63"/>
    </row>
    <row r="1035" customFormat="false" ht="15.75" hidden="true" customHeight="true" outlineLevel="0" collapsed="false">
      <c r="A1035" s="63" t="n">
        <v>2025</v>
      </c>
      <c r="B1035" s="79" t="s">
        <v>331</v>
      </c>
      <c r="C1035" s="79"/>
      <c r="D1035" s="63"/>
      <c r="E1035" s="63"/>
      <c r="F1035" s="63"/>
      <c r="G1035" s="63"/>
    </row>
    <row r="1036" customFormat="false" ht="15.75" hidden="true" customHeight="true" outlineLevel="0" collapsed="false">
      <c r="A1036" s="63" t="n">
        <v>2025</v>
      </c>
      <c r="B1036" s="79" t="s">
        <v>331</v>
      </c>
      <c r="C1036" s="79"/>
      <c r="D1036" s="63"/>
      <c r="E1036" s="63"/>
      <c r="F1036" s="63"/>
      <c r="G1036" s="63"/>
    </row>
    <row r="1037" customFormat="false" ht="15.75" hidden="true" customHeight="true" outlineLevel="0" collapsed="false">
      <c r="A1037" s="63" t="n">
        <v>2025</v>
      </c>
      <c r="B1037" s="79" t="s">
        <v>331</v>
      </c>
      <c r="C1037" s="79"/>
      <c r="D1037" s="63"/>
      <c r="E1037" s="63"/>
      <c r="F1037" s="63"/>
      <c r="G1037" s="63"/>
    </row>
    <row r="1038" customFormat="false" ht="15.75" hidden="true" customHeight="true" outlineLevel="0" collapsed="false">
      <c r="A1038" s="63" t="n">
        <v>2025</v>
      </c>
      <c r="B1038" s="79" t="s">
        <v>331</v>
      </c>
      <c r="C1038" s="79"/>
      <c r="D1038" s="63"/>
      <c r="E1038" s="63"/>
      <c r="F1038" s="63"/>
      <c r="G1038" s="63"/>
    </row>
    <row r="1039" customFormat="false" ht="15.75" hidden="true" customHeight="true" outlineLevel="0" collapsed="false">
      <c r="A1039" s="63" t="n">
        <v>2025</v>
      </c>
      <c r="B1039" s="79" t="s">
        <v>331</v>
      </c>
      <c r="C1039" s="79"/>
      <c r="D1039" s="63"/>
      <c r="E1039" s="63"/>
      <c r="F1039" s="63"/>
      <c r="G1039" s="63"/>
    </row>
    <row r="1040" customFormat="false" ht="15.75" hidden="true" customHeight="true" outlineLevel="0" collapsed="false">
      <c r="A1040" s="63" t="n">
        <v>2025</v>
      </c>
      <c r="B1040" s="79" t="s">
        <v>331</v>
      </c>
      <c r="C1040" s="79"/>
      <c r="D1040" s="63"/>
      <c r="E1040" s="63"/>
      <c r="F1040" s="63"/>
      <c r="G1040" s="63"/>
    </row>
    <row r="1041" customFormat="false" ht="15.75" hidden="true" customHeight="true" outlineLevel="0" collapsed="false">
      <c r="A1041" s="63" t="n">
        <v>2025</v>
      </c>
      <c r="B1041" s="79" t="s">
        <v>331</v>
      </c>
      <c r="C1041" s="79"/>
      <c r="D1041" s="63"/>
      <c r="E1041" s="63"/>
      <c r="F1041" s="63"/>
      <c r="G1041" s="63"/>
    </row>
    <row r="1042" customFormat="false" ht="15.75" hidden="true" customHeight="true" outlineLevel="0" collapsed="false">
      <c r="A1042" s="63" t="n">
        <v>2025</v>
      </c>
      <c r="B1042" s="79" t="s">
        <v>331</v>
      </c>
      <c r="C1042" s="79"/>
      <c r="D1042" s="63"/>
      <c r="E1042" s="63"/>
      <c r="F1042" s="63"/>
      <c r="G1042" s="63"/>
    </row>
    <row r="1043" customFormat="false" ht="15.75" hidden="true" customHeight="true" outlineLevel="0" collapsed="false">
      <c r="A1043" s="63" t="n">
        <v>2025</v>
      </c>
      <c r="B1043" s="79" t="s">
        <v>331</v>
      </c>
      <c r="C1043" s="79"/>
      <c r="D1043" s="63"/>
      <c r="E1043" s="63"/>
      <c r="F1043" s="63"/>
      <c r="G1043" s="63"/>
    </row>
    <row r="1044" customFormat="false" ht="15.75" hidden="true" customHeight="true" outlineLevel="0" collapsed="false">
      <c r="A1044" s="63" t="n">
        <v>2025</v>
      </c>
      <c r="B1044" s="79" t="s">
        <v>331</v>
      </c>
      <c r="C1044" s="79"/>
      <c r="D1044" s="63"/>
      <c r="E1044" s="63"/>
      <c r="F1044" s="63"/>
      <c r="G1044" s="63"/>
    </row>
    <row r="1045" customFormat="false" ht="15.75" hidden="true" customHeight="true" outlineLevel="0" collapsed="false">
      <c r="A1045" s="63" t="n">
        <v>2025</v>
      </c>
      <c r="B1045" s="79" t="s">
        <v>331</v>
      </c>
      <c r="C1045" s="79"/>
      <c r="D1045" s="63"/>
      <c r="E1045" s="63"/>
      <c r="F1045" s="63"/>
      <c r="G1045" s="63"/>
    </row>
    <row r="1046" customFormat="false" ht="15.75" hidden="true" customHeight="true" outlineLevel="0" collapsed="false">
      <c r="A1046" s="63" t="n">
        <v>2025</v>
      </c>
      <c r="B1046" s="79" t="s">
        <v>331</v>
      </c>
      <c r="C1046" s="79"/>
      <c r="D1046" s="63"/>
      <c r="E1046" s="63"/>
      <c r="F1046" s="63"/>
      <c r="G1046" s="63"/>
    </row>
    <row r="1047" customFormat="false" ht="15.75" hidden="true" customHeight="true" outlineLevel="0" collapsed="false">
      <c r="A1047" s="63" t="n">
        <v>2025</v>
      </c>
      <c r="B1047" s="79" t="s">
        <v>331</v>
      </c>
      <c r="C1047" s="79"/>
      <c r="D1047" s="63"/>
      <c r="E1047" s="63"/>
      <c r="F1047" s="63"/>
      <c r="G1047" s="63"/>
    </row>
    <row r="1048" customFormat="false" ht="15.75" hidden="true" customHeight="true" outlineLevel="0" collapsed="false">
      <c r="A1048" s="63" t="n">
        <v>2025</v>
      </c>
      <c r="B1048" s="79" t="s">
        <v>331</v>
      </c>
      <c r="C1048" s="79"/>
      <c r="D1048" s="63"/>
      <c r="E1048" s="63"/>
      <c r="F1048" s="63"/>
      <c r="G1048" s="63"/>
    </row>
    <row r="1049" customFormat="false" ht="15.75" hidden="true" customHeight="true" outlineLevel="0" collapsed="false">
      <c r="A1049" s="63" t="n">
        <v>2025</v>
      </c>
      <c r="B1049" s="79" t="s">
        <v>331</v>
      </c>
      <c r="C1049" s="79"/>
      <c r="D1049" s="63"/>
      <c r="E1049" s="63"/>
      <c r="F1049" s="63"/>
      <c r="G1049" s="63"/>
    </row>
    <row r="1050" customFormat="false" ht="15.75" hidden="true" customHeight="true" outlineLevel="0" collapsed="false">
      <c r="A1050" s="63" t="n">
        <v>2025</v>
      </c>
      <c r="B1050" s="79" t="s">
        <v>331</v>
      </c>
      <c r="C1050" s="79"/>
      <c r="D1050" s="63"/>
      <c r="E1050" s="63"/>
      <c r="F1050" s="63"/>
      <c r="G1050" s="63"/>
    </row>
    <row r="1051" customFormat="false" ht="15.75" hidden="true" customHeight="true" outlineLevel="0" collapsed="false">
      <c r="A1051" s="63" t="n">
        <v>2025</v>
      </c>
      <c r="B1051" s="79" t="s">
        <v>331</v>
      </c>
      <c r="C1051" s="79"/>
      <c r="D1051" s="63"/>
      <c r="E1051" s="63"/>
      <c r="F1051" s="63"/>
      <c r="G1051" s="63"/>
    </row>
    <row r="1052" customFormat="false" ht="15.75" hidden="true" customHeight="true" outlineLevel="0" collapsed="false">
      <c r="A1052" s="63" t="n">
        <v>2025</v>
      </c>
      <c r="B1052" s="79" t="s">
        <v>331</v>
      </c>
      <c r="C1052" s="79"/>
      <c r="D1052" s="63"/>
      <c r="E1052" s="63"/>
      <c r="F1052" s="63"/>
      <c r="G1052" s="63"/>
    </row>
    <row r="1053" customFormat="false" ht="15.75" hidden="true" customHeight="true" outlineLevel="0" collapsed="false">
      <c r="A1053" s="63" t="n">
        <v>2025</v>
      </c>
      <c r="B1053" s="79" t="s">
        <v>331</v>
      </c>
      <c r="C1053" s="79"/>
      <c r="D1053" s="63"/>
      <c r="E1053" s="63"/>
      <c r="F1053" s="63"/>
      <c r="G1053" s="63"/>
    </row>
    <row r="1054" customFormat="false" ht="15.75" hidden="true" customHeight="true" outlineLevel="0" collapsed="false">
      <c r="A1054" s="99" t="s">
        <v>430</v>
      </c>
      <c r="B1054" s="99"/>
      <c r="C1054" s="99"/>
      <c r="D1054" s="99"/>
      <c r="E1054" s="99"/>
      <c r="F1054" s="99"/>
      <c r="G1054" s="99"/>
    </row>
    <row r="1055" customFormat="false" ht="15.75" hidden="true" customHeight="true" outlineLevel="0" collapsed="false">
      <c r="A1055" s="63" t="n">
        <v>2025</v>
      </c>
      <c r="B1055" s="79" t="s">
        <v>332</v>
      </c>
      <c r="C1055" s="79"/>
      <c r="D1055" s="63"/>
      <c r="E1055" s="63"/>
      <c r="F1055" s="63"/>
      <c r="G1055" s="63"/>
    </row>
    <row r="1056" customFormat="false" ht="15.75" hidden="true" customHeight="true" outlineLevel="0" collapsed="false">
      <c r="A1056" s="63" t="n">
        <v>2025</v>
      </c>
      <c r="B1056" s="79" t="s">
        <v>332</v>
      </c>
      <c r="C1056" s="79"/>
      <c r="D1056" s="63"/>
      <c r="E1056" s="63"/>
      <c r="F1056" s="63"/>
      <c r="G1056" s="63"/>
    </row>
    <row r="1057" customFormat="false" ht="15.75" hidden="true" customHeight="true" outlineLevel="0" collapsed="false">
      <c r="A1057" s="63" t="n">
        <v>2025</v>
      </c>
      <c r="B1057" s="79" t="s">
        <v>332</v>
      </c>
      <c r="C1057" s="79"/>
      <c r="D1057" s="63"/>
      <c r="E1057" s="63"/>
      <c r="F1057" s="63"/>
      <c r="G1057" s="63"/>
    </row>
    <row r="1058" customFormat="false" ht="15.75" hidden="true" customHeight="true" outlineLevel="0" collapsed="false">
      <c r="A1058" s="63" t="n">
        <v>2025</v>
      </c>
      <c r="B1058" s="79" t="s">
        <v>332</v>
      </c>
      <c r="C1058" s="79"/>
      <c r="D1058" s="63"/>
      <c r="E1058" s="63"/>
      <c r="F1058" s="63"/>
      <c r="G1058" s="63"/>
    </row>
    <row r="1059" customFormat="false" ht="15.75" hidden="true" customHeight="true" outlineLevel="0" collapsed="false">
      <c r="A1059" s="63" t="n">
        <v>2025</v>
      </c>
      <c r="B1059" s="79" t="s">
        <v>332</v>
      </c>
      <c r="C1059" s="79"/>
      <c r="D1059" s="63"/>
      <c r="E1059" s="63"/>
      <c r="F1059" s="63"/>
      <c r="G1059" s="63"/>
    </row>
    <row r="1060" customFormat="false" ht="15.75" hidden="true" customHeight="true" outlineLevel="0" collapsed="false">
      <c r="A1060" s="63" t="n">
        <v>2025</v>
      </c>
      <c r="B1060" s="79" t="s">
        <v>332</v>
      </c>
      <c r="C1060" s="79"/>
      <c r="D1060" s="63"/>
      <c r="E1060" s="63"/>
      <c r="F1060" s="63"/>
      <c r="G1060" s="63"/>
    </row>
    <row r="1061" customFormat="false" ht="15.75" hidden="true" customHeight="true" outlineLevel="0" collapsed="false">
      <c r="A1061" s="63" t="n">
        <v>2025</v>
      </c>
      <c r="B1061" s="79" t="s">
        <v>332</v>
      </c>
      <c r="C1061" s="79"/>
      <c r="D1061" s="63"/>
      <c r="E1061" s="63"/>
      <c r="F1061" s="63"/>
      <c r="G1061" s="63"/>
    </row>
    <row r="1062" customFormat="false" ht="15.75" hidden="true" customHeight="true" outlineLevel="0" collapsed="false">
      <c r="A1062" s="63" t="n">
        <v>2025</v>
      </c>
      <c r="B1062" s="79" t="s">
        <v>332</v>
      </c>
      <c r="C1062" s="79"/>
      <c r="D1062" s="63"/>
      <c r="E1062" s="63"/>
      <c r="F1062" s="63"/>
      <c r="G1062" s="63"/>
    </row>
    <row r="1063" customFormat="false" ht="15.75" hidden="true" customHeight="true" outlineLevel="0" collapsed="false">
      <c r="A1063" s="63" t="n">
        <v>2025</v>
      </c>
      <c r="B1063" s="79" t="s">
        <v>332</v>
      </c>
      <c r="C1063" s="79"/>
      <c r="D1063" s="63"/>
      <c r="E1063" s="63"/>
      <c r="F1063" s="63"/>
      <c r="G1063" s="63"/>
    </row>
    <row r="1064" customFormat="false" ht="15.75" hidden="true" customHeight="true" outlineLevel="0" collapsed="false">
      <c r="A1064" s="63" t="n">
        <v>2025</v>
      </c>
      <c r="B1064" s="79" t="s">
        <v>332</v>
      </c>
      <c r="C1064" s="79"/>
      <c r="D1064" s="63"/>
      <c r="E1064" s="63"/>
      <c r="F1064" s="63"/>
      <c r="G1064" s="63"/>
    </row>
    <row r="1065" customFormat="false" ht="15.75" hidden="true" customHeight="true" outlineLevel="0" collapsed="false">
      <c r="A1065" s="63" t="n">
        <v>2025</v>
      </c>
      <c r="B1065" s="79" t="s">
        <v>332</v>
      </c>
      <c r="C1065" s="79"/>
      <c r="D1065" s="63"/>
      <c r="E1065" s="63"/>
      <c r="F1065" s="63"/>
      <c r="G1065" s="63"/>
    </row>
    <row r="1066" customFormat="false" ht="15.75" hidden="true" customHeight="true" outlineLevel="0" collapsed="false">
      <c r="A1066" s="63" t="n">
        <v>2025</v>
      </c>
      <c r="B1066" s="79" t="s">
        <v>332</v>
      </c>
      <c r="C1066" s="79"/>
      <c r="D1066" s="63"/>
      <c r="E1066" s="63"/>
      <c r="F1066" s="63"/>
      <c r="G1066" s="63"/>
    </row>
    <row r="1067" customFormat="false" ht="15.75" hidden="true" customHeight="true" outlineLevel="0" collapsed="false">
      <c r="A1067" s="63" t="n">
        <v>2025</v>
      </c>
      <c r="B1067" s="79" t="s">
        <v>332</v>
      </c>
      <c r="C1067" s="79"/>
      <c r="D1067" s="63"/>
      <c r="E1067" s="63"/>
      <c r="F1067" s="63"/>
      <c r="G1067" s="63"/>
    </row>
    <row r="1068" customFormat="false" ht="15.75" hidden="true" customHeight="true" outlineLevel="0" collapsed="false">
      <c r="A1068" s="63" t="n">
        <v>2025</v>
      </c>
      <c r="B1068" s="79" t="s">
        <v>332</v>
      </c>
      <c r="C1068" s="79"/>
      <c r="D1068" s="63"/>
      <c r="E1068" s="63"/>
      <c r="F1068" s="63"/>
      <c r="G1068" s="63"/>
    </row>
    <row r="1069" customFormat="false" ht="15.75" hidden="true" customHeight="true" outlineLevel="0" collapsed="false">
      <c r="A1069" s="63" t="n">
        <v>2025</v>
      </c>
      <c r="B1069" s="79" t="s">
        <v>332</v>
      </c>
      <c r="C1069" s="79"/>
      <c r="D1069" s="63"/>
      <c r="E1069" s="63"/>
      <c r="F1069" s="63"/>
      <c r="G1069" s="63"/>
    </row>
    <row r="1070" customFormat="false" ht="15.75" hidden="true" customHeight="true" outlineLevel="0" collapsed="false">
      <c r="A1070" s="63" t="n">
        <v>2025</v>
      </c>
      <c r="B1070" s="79" t="s">
        <v>332</v>
      </c>
      <c r="C1070" s="79"/>
      <c r="D1070" s="63"/>
      <c r="E1070" s="63"/>
      <c r="F1070" s="63"/>
      <c r="G1070" s="63"/>
    </row>
    <row r="1071" customFormat="false" ht="15.75" hidden="true" customHeight="true" outlineLevel="0" collapsed="false">
      <c r="A1071" s="63" t="n">
        <v>2025</v>
      </c>
      <c r="B1071" s="79" t="s">
        <v>332</v>
      </c>
      <c r="C1071" s="79"/>
      <c r="D1071" s="63"/>
      <c r="E1071" s="63"/>
      <c r="F1071" s="63"/>
      <c r="G1071" s="63"/>
    </row>
    <row r="1072" customFormat="false" ht="15.75" hidden="true" customHeight="true" outlineLevel="0" collapsed="false">
      <c r="A1072" s="63" t="n">
        <v>2025</v>
      </c>
      <c r="B1072" s="79" t="s">
        <v>332</v>
      </c>
      <c r="C1072" s="79"/>
      <c r="D1072" s="63"/>
      <c r="E1072" s="63"/>
      <c r="F1072" s="63"/>
      <c r="G1072" s="63"/>
    </row>
    <row r="1073" customFormat="false" ht="15.75" hidden="true" customHeight="true" outlineLevel="0" collapsed="false">
      <c r="A1073" s="63" t="n">
        <v>2025</v>
      </c>
      <c r="B1073" s="79" t="s">
        <v>332</v>
      </c>
      <c r="C1073" s="79"/>
      <c r="D1073" s="63"/>
      <c r="E1073" s="63"/>
      <c r="F1073" s="63"/>
      <c r="G1073" s="63"/>
    </row>
    <row r="1074" customFormat="false" ht="15.75" hidden="true" customHeight="true" outlineLevel="0" collapsed="false">
      <c r="A1074" s="63" t="n">
        <v>2025</v>
      </c>
      <c r="B1074" s="79" t="s">
        <v>332</v>
      </c>
      <c r="C1074" s="79"/>
      <c r="D1074" s="63"/>
      <c r="E1074" s="63"/>
      <c r="F1074" s="63"/>
      <c r="G1074" s="63"/>
    </row>
    <row r="1075" customFormat="false" ht="15.75" hidden="true" customHeight="true" outlineLevel="0" collapsed="false">
      <c r="A1075" s="99" t="s">
        <v>431</v>
      </c>
      <c r="B1075" s="99"/>
      <c r="C1075" s="99"/>
      <c r="D1075" s="99"/>
      <c r="E1075" s="99"/>
      <c r="F1075" s="99"/>
      <c r="G1075" s="99"/>
    </row>
    <row r="1076" customFormat="false" ht="15.75" hidden="true" customHeight="true" outlineLevel="0" collapsed="false">
      <c r="A1076" s="63" t="n">
        <v>2025</v>
      </c>
      <c r="B1076" s="79" t="s">
        <v>333</v>
      </c>
      <c r="C1076" s="79"/>
      <c r="D1076" s="63"/>
      <c r="E1076" s="63"/>
      <c r="F1076" s="63"/>
      <c r="G1076" s="63"/>
    </row>
    <row r="1077" customFormat="false" ht="15.75" hidden="true" customHeight="true" outlineLevel="0" collapsed="false">
      <c r="A1077" s="63" t="n">
        <v>2025</v>
      </c>
      <c r="B1077" s="79" t="s">
        <v>333</v>
      </c>
      <c r="C1077" s="79"/>
      <c r="D1077" s="63"/>
      <c r="E1077" s="63"/>
      <c r="F1077" s="63"/>
      <c r="G1077" s="63"/>
    </row>
    <row r="1078" customFormat="false" ht="15.75" hidden="true" customHeight="true" outlineLevel="0" collapsed="false">
      <c r="A1078" s="63" t="n">
        <v>2025</v>
      </c>
      <c r="B1078" s="79" t="s">
        <v>333</v>
      </c>
      <c r="C1078" s="79"/>
      <c r="D1078" s="63"/>
      <c r="E1078" s="63"/>
      <c r="F1078" s="63"/>
      <c r="G1078" s="63"/>
    </row>
    <row r="1079" customFormat="false" ht="15.75" hidden="true" customHeight="true" outlineLevel="0" collapsed="false">
      <c r="A1079" s="63" t="n">
        <v>2025</v>
      </c>
      <c r="B1079" s="79" t="s">
        <v>333</v>
      </c>
      <c r="C1079" s="79"/>
      <c r="D1079" s="63"/>
      <c r="E1079" s="63"/>
      <c r="F1079" s="63"/>
      <c r="G1079" s="63"/>
    </row>
    <row r="1080" customFormat="false" ht="15.75" hidden="true" customHeight="true" outlineLevel="0" collapsed="false">
      <c r="A1080" s="63" t="n">
        <v>2025</v>
      </c>
      <c r="B1080" s="79" t="s">
        <v>333</v>
      </c>
      <c r="C1080" s="79"/>
      <c r="D1080" s="63"/>
      <c r="E1080" s="63"/>
      <c r="F1080" s="63"/>
      <c r="G1080" s="63"/>
    </row>
    <row r="1081" customFormat="false" ht="15.75" hidden="true" customHeight="true" outlineLevel="0" collapsed="false">
      <c r="A1081" s="63" t="n">
        <v>2025</v>
      </c>
      <c r="B1081" s="79" t="s">
        <v>333</v>
      </c>
      <c r="C1081" s="79"/>
      <c r="D1081" s="63"/>
      <c r="E1081" s="63"/>
      <c r="F1081" s="63"/>
      <c r="G1081" s="63"/>
    </row>
    <row r="1082" customFormat="false" ht="15.75" hidden="true" customHeight="true" outlineLevel="0" collapsed="false">
      <c r="A1082" s="63" t="n">
        <v>2025</v>
      </c>
      <c r="B1082" s="79" t="s">
        <v>333</v>
      </c>
      <c r="C1082" s="79"/>
      <c r="D1082" s="63"/>
      <c r="E1082" s="63"/>
      <c r="F1082" s="63"/>
      <c r="G1082" s="63"/>
    </row>
    <row r="1083" customFormat="false" ht="15.75" hidden="true" customHeight="true" outlineLevel="0" collapsed="false">
      <c r="A1083" s="63" t="n">
        <v>2025</v>
      </c>
      <c r="B1083" s="79" t="s">
        <v>333</v>
      </c>
      <c r="C1083" s="79"/>
      <c r="D1083" s="63"/>
      <c r="E1083" s="63"/>
      <c r="F1083" s="63"/>
      <c r="G1083" s="63"/>
    </row>
    <row r="1084" customFormat="false" ht="15.75" hidden="true" customHeight="true" outlineLevel="0" collapsed="false">
      <c r="A1084" s="63" t="n">
        <v>2025</v>
      </c>
      <c r="B1084" s="79" t="s">
        <v>333</v>
      </c>
      <c r="C1084" s="79"/>
      <c r="D1084" s="63"/>
      <c r="E1084" s="63"/>
      <c r="F1084" s="63"/>
      <c r="G1084" s="63"/>
    </row>
    <row r="1085" customFormat="false" ht="15.75" hidden="true" customHeight="true" outlineLevel="0" collapsed="false">
      <c r="A1085" s="63" t="n">
        <v>2025</v>
      </c>
      <c r="B1085" s="79" t="s">
        <v>333</v>
      </c>
      <c r="C1085" s="79"/>
      <c r="D1085" s="63"/>
      <c r="E1085" s="63"/>
      <c r="F1085" s="63"/>
      <c r="G1085" s="63"/>
    </row>
    <row r="1086" customFormat="false" ht="15.75" hidden="true" customHeight="true" outlineLevel="0" collapsed="false">
      <c r="A1086" s="63" t="n">
        <v>2025</v>
      </c>
      <c r="B1086" s="79" t="s">
        <v>333</v>
      </c>
      <c r="C1086" s="79"/>
      <c r="D1086" s="63"/>
      <c r="E1086" s="63"/>
      <c r="F1086" s="63"/>
      <c r="G1086" s="63"/>
    </row>
    <row r="1087" customFormat="false" ht="15.75" hidden="true" customHeight="true" outlineLevel="0" collapsed="false">
      <c r="A1087" s="63" t="n">
        <v>2025</v>
      </c>
      <c r="B1087" s="79" t="s">
        <v>333</v>
      </c>
      <c r="C1087" s="79"/>
      <c r="D1087" s="63"/>
      <c r="E1087" s="63"/>
      <c r="F1087" s="63"/>
      <c r="G1087" s="63"/>
    </row>
    <row r="1088" customFormat="false" ht="15.75" hidden="true" customHeight="true" outlineLevel="0" collapsed="false">
      <c r="A1088" s="63" t="n">
        <v>2025</v>
      </c>
      <c r="B1088" s="79" t="s">
        <v>333</v>
      </c>
      <c r="C1088" s="79"/>
      <c r="D1088" s="63"/>
      <c r="E1088" s="63"/>
      <c r="F1088" s="63"/>
      <c r="G1088" s="63"/>
    </row>
    <row r="1089" customFormat="false" ht="15.75" hidden="true" customHeight="true" outlineLevel="0" collapsed="false">
      <c r="A1089" s="63" t="n">
        <v>2025</v>
      </c>
      <c r="B1089" s="79" t="s">
        <v>333</v>
      </c>
      <c r="C1089" s="79"/>
      <c r="D1089" s="63"/>
      <c r="E1089" s="63"/>
      <c r="F1089" s="63"/>
      <c r="G1089" s="63"/>
    </row>
    <row r="1090" customFormat="false" ht="15.75" hidden="true" customHeight="true" outlineLevel="0" collapsed="false">
      <c r="A1090" s="63" t="n">
        <v>2025</v>
      </c>
      <c r="B1090" s="79" t="s">
        <v>333</v>
      </c>
      <c r="C1090" s="79"/>
      <c r="D1090" s="63"/>
      <c r="E1090" s="63"/>
      <c r="F1090" s="63"/>
      <c r="G1090" s="63"/>
    </row>
    <row r="1091" customFormat="false" ht="15.75" hidden="true" customHeight="true" outlineLevel="0" collapsed="false">
      <c r="A1091" s="63" t="n">
        <v>2025</v>
      </c>
      <c r="B1091" s="79" t="s">
        <v>333</v>
      </c>
      <c r="C1091" s="79"/>
      <c r="D1091" s="63"/>
      <c r="E1091" s="63"/>
      <c r="F1091" s="63"/>
      <c r="G1091" s="63"/>
    </row>
    <row r="1092" customFormat="false" ht="15.75" hidden="true" customHeight="true" outlineLevel="0" collapsed="false">
      <c r="A1092" s="63" t="n">
        <v>2025</v>
      </c>
      <c r="B1092" s="79" t="s">
        <v>333</v>
      </c>
      <c r="C1092" s="79"/>
      <c r="D1092" s="63"/>
      <c r="E1092" s="63"/>
      <c r="F1092" s="63"/>
      <c r="G1092" s="63"/>
    </row>
    <row r="1093" customFormat="false" ht="15.75" hidden="true" customHeight="true" outlineLevel="0" collapsed="false">
      <c r="A1093" s="63" t="n">
        <v>2025</v>
      </c>
      <c r="B1093" s="79" t="s">
        <v>333</v>
      </c>
      <c r="C1093" s="79"/>
      <c r="D1093" s="63"/>
      <c r="E1093" s="63"/>
      <c r="F1093" s="63"/>
      <c r="G1093" s="63"/>
    </row>
    <row r="1094" customFormat="false" ht="15.75" hidden="true" customHeight="true" outlineLevel="0" collapsed="false">
      <c r="A1094" s="63" t="n">
        <v>2025</v>
      </c>
      <c r="B1094" s="79" t="s">
        <v>333</v>
      </c>
      <c r="C1094" s="79"/>
      <c r="D1094" s="63"/>
      <c r="E1094" s="63"/>
      <c r="F1094" s="63"/>
      <c r="G1094" s="63"/>
    </row>
    <row r="1095" customFormat="false" ht="15.75" hidden="true" customHeight="true" outlineLevel="0" collapsed="false">
      <c r="A1095" s="63" t="n">
        <v>2025</v>
      </c>
      <c r="B1095" s="79" t="s">
        <v>333</v>
      </c>
      <c r="C1095" s="79"/>
      <c r="D1095" s="63"/>
      <c r="E1095" s="63"/>
      <c r="F1095" s="63"/>
      <c r="G1095" s="63"/>
    </row>
    <row r="1096" customFormat="false" ht="15.75" hidden="true" customHeight="true" outlineLevel="0" collapsed="false">
      <c r="A1096" s="99" t="s">
        <v>432</v>
      </c>
      <c r="B1096" s="99"/>
      <c r="C1096" s="99"/>
      <c r="D1096" s="99"/>
      <c r="E1096" s="99"/>
      <c r="F1096" s="99"/>
      <c r="G1096" s="99"/>
    </row>
    <row r="1097" customFormat="false" ht="15.75" hidden="true" customHeight="true" outlineLevel="0" collapsed="false">
      <c r="A1097" s="63" t="n">
        <v>2025</v>
      </c>
      <c r="B1097" s="79" t="s">
        <v>65</v>
      </c>
      <c r="C1097" s="79"/>
      <c r="D1097" s="63"/>
      <c r="E1097" s="63"/>
      <c r="F1097" s="63"/>
      <c r="G1097" s="63"/>
    </row>
    <row r="1098" customFormat="false" ht="15.75" hidden="true" customHeight="true" outlineLevel="0" collapsed="false">
      <c r="A1098" s="63" t="n">
        <v>2025</v>
      </c>
      <c r="B1098" s="79" t="s">
        <v>65</v>
      </c>
      <c r="C1098" s="79"/>
      <c r="D1098" s="63"/>
      <c r="E1098" s="63"/>
      <c r="F1098" s="63"/>
      <c r="G1098" s="63"/>
    </row>
    <row r="1099" customFormat="false" ht="15.75" hidden="true" customHeight="true" outlineLevel="0" collapsed="false">
      <c r="A1099" s="63" t="n">
        <v>2025</v>
      </c>
      <c r="B1099" s="79" t="s">
        <v>65</v>
      </c>
      <c r="C1099" s="79"/>
      <c r="D1099" s="63"/>
      <c r="E1099" s="63"/>
      <c r="F1099" s="63"/>
      <c r="G1099" s="63"/>
    </row>
    <row r="1100" customFormat="false" ht="15.75" hidden="true" customHeight="true" outlineLevel="0" collapsed="false">
      <c r="A1100" s="63" t="n">
        <v>2025</v>
      </c>
      <c r="B1100" s="79" t="s">
        <v>65</v>
      </c>
      <c r="C1100" s="79"/>
      <c r="D1100" s="63"/>
      <c r="E1100" s="63"/>
      <c r="F1100" s="63"/>
      <c r="G1100" s="63"/>
    </row>
    <row r="1101" customFormat="false" ht="15.75" hidden="true" customHeight="true" outlineLevel="0" collapsed="false">
      <c r="A1101" s="63" t="n">
        <v>2025</v>
      </c>
      <c r="B1101" s="79" t="s">
        <v>65</v>
      </c>
      <c r="C1101" s="79"/>
      <c r="D1101" s="63"/>
      <c r="E1101" s="63"/>
      <c r="F1101" s="63"/>
      <c r="G1101" s="63"/>
    </row>
    <row r="1102" customFormat="false" ht="15.75" hidden="true" customHeight="true" outlineLevel="0" collapsed="false">
      <c r="A1102" s="63" t="n">
        <v>2025</v>
      </c>
      <c r="B1102" s="79" t="s">
        <v>65</v>
      </c>
      <c r="C1102" s="79"/>
      <c r="D1102" s="63"/>
      <c r="E1102" s="63"/>
      <c r="F1102" s="63"/>
      <c r="G1102" s="63"/>
    </row>
    <row r="1103" customFormat="false" ht="15.75" hidden="true" customHeight="true" outlineLevel="0" collapsed="false">
      <c r="A1103" s="63" t="n">
        <v>2025</v>
      </c>
      <c r="B1103" s="79" t="s">
        <v>65</v>
      </c>
      <c r="C1103" s="79"/>
      <c r="D1103" s="63"/>
      <c r="E1103" s="63"/>
      <c r="F1103" s="63"/>
      <c r="G1103" s="63"/>
    </row>
    <row r="1104" customFormat="false" ht="15.75" hidden="true" customHeight="true" outlineLevel="0" collapsed="false">
      <c r="A1104" s="63" t="n">
        <v>2025</v>
      </c>
      <c r="B1104" s="79" t="s">
        <v>65</v>
      </c>
      <c r="C1104" s="79"/>
      <c r="D1104" s="63"/>
      <c r="E1104" s="63"/>
      <c r="F1104" s="63"/>
      <c r="G1104" s="63"/>
    </row>
    <row r="1105" customFormat="false" ht="15.75" hidden="true" customHeight="true" outlineLevel="0" collapsed="false">
      <c r="A1105" s="63" t="n">
        <v>2025</v>
      </c>
      <c r="B1105" s="79" t="s">
        <v>65</v>
      </c>
      <c r="C1105" s="79"/>
      <c r="D1105" s="63"/>
      <c r="E1105" s="63"/>
      <c r="F1105" s="63"/>
      <c r="G1105" s="63"/>
    </row>
    <row r="1106" customFormat="false" ht="15.75" hidden="true" customHeight="true" outlineLevel="0" collapsed="false">
      <c r="A1106" s="63" t="n">
        <v>2025</v>
      </c>
      <c r="B1106" s="79" t="s">
        <v>65</v>
      </c>
      <c r="C1106" s="79"/>
      <c r="D1106" s="63"/>
      <c r="E1106" s="63"/>
      <c r="F1106" s="63"/>
      <c r="G1106" s="63"/>
    </row>
    <row r="1107" customFormat="false" ht="15.75" hidden="true" customHeight="true" outlineLevel="0" collapsed="false">
      <c r="A1107" s="63" t="n">
        <v>2025</v>
      </c>
      <c r="B1107" s="79" t="s">
        <v>65</v>
      </c>
      <c r="C1107" s="79"/>
      <c r="D1107" s="63"/>
      <c r="E1107" s="63"/>
      <c r="F1107" s="63"/>
      <c r="G1107" s="63"/>
    </row>
    <row r="1108" customFormat="false" ht="15.75" hidden="true" customHeight="true" outlineLevel="0" collapsed="false">
      <c r="A1108" s="63" t="n">
        <v>2025</v>
      </c>
      <c r="B1108" s="79" t="s">
        <v>65</v>
      </c>
      <c r="C1108" s="79"/>
      <c r="D1108" s="63"/>
      <c r="E1108" s="63"/>
      <c r="F1108" s="63"/>
      <c r="G1108" s="63"/>
    </row>
    <row r="1109" customFormat="false" ht="15.75" hidden="true" customHeight="true" outlineLevel="0" collapsed="false">
      <c r="A1109" s="63" t="n">
        <v>2025</v>
      </c>
      <c r="B1109" s="79" t="s">
        <v>65</v>
      </c>
      <c r="C1109" s="79"/>
      <c r="D1109" s="63"/>
      <c r="E1109" s="63"/>
      <c r="F1109" s="63"/>
      <c r="G1109" s="63"/>
    </row>
    <row r="1110" customFormat="false" ht="15.75" hidden="true" customHeight="true" outlineLevel="0" collapsed="false">
      <c r="A1110" s="63" t="n">
        <v>2025</v>
      </c>
      <c r="B1110" s="79" t="s">
        <v>65</v>
      </c>
      <c r="C1110" s="79"/>
      <c r="D1110" s="63"/>
      <c r="E1110" s="63"/>
      <c r="F1110" s="63"/>
      <c r="G1110" s="63"/>
    </row>
    <row r="1111" customFormat="false" ht="15.75" hidden="true" customHeight="true" outlineLevel="0" collapsed="false">
      <c r="A1111" s="63" t="n">
        <v>2025</v>
      </c>
      <c r="B1111" s="79" t="s">
        <v>65</v>
      </c>
      <c r="C1111" s="79"/>
      <c r="D1111" s="63"/>
      <c r="E1111" s="63"/>
      <c r="F1111" s="63"/>
      <c r="G1111" s="63"/>
    </row>
    <row r="1112" customFormat="false" ht="15.75" hidden="true" customHeight="true" outlineLevel="0" collapsed="false">
      <c r="A1112" s="63" t="n">
        <v>2025</v>
      </c>
      <c r="B1112" s="79" t="s">
        <v>65</v>
      </c>
      <c r="C1112" s="79"/>
      <c r="D1112" s="63"/>
      <c r="E1112" s="63"/>
      <c r="F1112" s="63"/>
      <c r="G1112" s="63"/>
    </row>
    <row r="1113" customFormat="false" ht="15.75" hidden="true" customHeight="true" outlineLevel="0" collapsed="false">
      <c r="A1113" s="63" t="n">
        <v>2025</v>
      </c>
      <c r="B1113" s="79" t="s">
        <v>65</v>
      </c>
      <c r="C1113" s="79"/>
      <c r="D1113" s="63"/>
      <c r="E1113" s="63"/>
      <c r="F1113" s="63"/>
      <c r="G1113" s="63"/>
    </row>
    <row r="1114" customFormat="false" ht="15.75" hidden="true" customHeight="true" outlineLevel="0" collapsed="false">
      <c r="A1114" s="63" t="n">
        <v>2025</v>
      </c>
      <c r="B1114" s="79" t="s">
        <v>65</v>
      </c>
      <c r="C1114" s="79"/>
      <c r="D1114" s="63"/>
      <c r="E1114" s="63"/>
      <c r="F1114" s="63"/>
      <c r="G1114" s="63"/>
    </row>
    <row r="1115" customFormat="false" ht="15.75" hidden="true" customHeight="true" outlineLevel="0" collapsed="false">
      <c r="A1115" s="63" t="n">
        <v>2025</v>
      </c>
      <c r="B1115" s="79" t="s">
        <v>65</v>
      </c>
      <c r="C1115" s="79"/>
      <c r="D1115" s="63"/>
      <c r="E1115" s="63"/>
      <c r="F1115" s="63"/>
      <c r="G1115" s="63"/>
    </row>
    <row r="1116" customFormat="false" ht="15.75" hidden="true" customHeight="true" outlineLevel="0" collapsed="false">
      <c r="A1116" s="63" t="n">
        <v>2025</v>
      </c>
      <c r="B1116" s="79" t="s">
        <v>65</v>
      </c>
      <c r="C1116" s="79"/>
      <c r="D1116" s="63"/>
      <c r="E1116" s="63"/>
      <c r="F1116" s="63"/>
      <c r="G1116" s="63"/>
    </row>
    <row r="1117" customFormat="false" ht="15.75" hidden="true" customHeight="true" outlineLevel="0" collapsed="false">
      <c r="A1117" s="99" t="s">
        <v>433</v>
      </c>
      <c r="B1117" s="99"/>
      <c r="C1117" s="99"/>
      <c r="D1117" s="99"/>
      <c r="E1117" s="99"/>
      <c r="F1117" s="99"/>
      <c r="G1117" s="99"/>
    </row>
    <row r="1118" customFormat="false" ht="15.75" hidden="true" customHeight="true" outlineLevel="0" collapsed="false">
      <c r="A1118" s="63" t="n">
        <v>2025</v>
      </c>
      <c r="B1118" s="79" t="s">
        <v>108</v>
      </c>
      <c r="C1118" s="79"/>
      <c r="D1118" s="63"/>
      <c r="E1118" s="63"/>
      <c r="F1118" s="63"/>
      <c r="G1118" s="63"/>
    </row>
    <row r="1119" customFormat="false" ht="15.75" hidden="true" customHeight="true" outlineLevel="0" collapsed="false">
      <c r="A1119" s="63" t="n">
        <v>2025</v>
      </c>
      <c r="B1119" s="79" t="s">
        <v>108</v>
      </c>
      <c r="C1119" s="79"/>
      <c r="D1119" s="63"/>
      <c r="E1119" s="63"/>
      <c r="F1119" s="63"/>
      <c r="G1119" s="63"/>
    </row>
    <row r="1120" customFormat="false" ht="15.75" hidden="true" customHeight="true" outlineLevel="0" collapsed="false">
      <c r="A1120" s="63" t="n">
        <v>2025</v>
      </c>
      <c r="B1120" s="79" t="s">
        <v>108</v>
      </c>
      <c r="C1120" s="79"/>
      <c r="D1120" s="63"/>
      <c r="E1120" s="63"/>
      <c r="F1120" s="63"/>
      <c r="G1120" s="63"/>
    </row>
    <row r="1121" customFormat="false" ht="15.75" hidden="true" customHeight="true" outlineLevel="0" collapsed="false">
      <c r="A1121" s="63" t="n">
        <v>2025</v>
      </c>
      <c r="B1121" s="79" t="s">
        <v>108</v>
      </c>
      <c r="C1121" s="79"/>
      <c r="D1121" s="63"/>
      <c r="E1121" s="63"/>
      <c r="F1121" s="63"/>
      <c r="G1121" s="63"/>
    </row>
    <row r="1122" customFormat="false" ht="15.75" hidden="true" customHeight="true" outlineLevel="0" collapsed="false">
      <c r="A1122" s="63" t="n">
        <v>2025</v>
      </c>
      <c r="B1122" s="79" t="s">
        <v>108</v>
      </c>
      <c r="C1122" s="79"/>
      <c r="D1122" s="63"/>
      <c r="E1122" s="63"/>
      <c r="F1122" s="63"/>
      <c r="G1122" s="63"/>
    </row>
    <row r="1123" customFormat="false" ht="15.75" hidden="true" customHeight="true" outlineLevel="0" collapsed="false">
      <c r="A1123" s="63" t="n">
        <v>2025</v>
      </c>
      <c r="B1123" s="79" t="s">
        <v>108</v>
      </c>
      <c r="C1123" s="79"/>
      <c r="D1123" s="63"/>
      <c r="E1123" s="63"/>
      <c r="F1123" s="63"/>
      <c r="G1123" s="63"/>
    </row>
    <row r="1124" customFormat="false" ht="15.75" hidden="true" customHeight="true" outlineLevel="0" collapsed="false">
      <c r="A1124" s="63" t="n">
        <v>2025</v>
      </c>
      <c r="B1124" s="79" t="s">
        <v>108</v>
      </c>
      <c r="C1124" s="79"/>
      <c r="D1124" s="63"/>
      <c r="E1124" s="63"/>
      <c r="F1124" s="63"/>
      <c r="G1124" s="63"/>
    </row>
    <row r="1125" customFormat="false" ht="15.75" hidden="true" customHeight="true" outlineLevel="0" collapsed="false">
      <c r="A1125" s="63" t="n">
        <v>2025</v>
      </c>
      <c r="B1125" s="79" t="s">
        <v>108</v>
      </c>
      <c r="C1125" s="79"/>
      <c r="D1125" s="63"/>
      <c r="E1125" s="63"/>
      <c r="F1125" s="63"/>
      <c r="G1125" s="63"/>
    </row>
    <row r="1126" customFormat="false" ht="15.75" hidden="true" customHeight="true" outlineLevel="0" collapsed="false">
      <c r="A1126" s="63" t="n">
        <v>2025</v>
      </c>
      <c r="B1126" s="79" t="s">
        <v>108</v>
      </c>
      <c r="C1126" s="79"/>
      <c r="D1126" s="63"/>
      <c r="E1126" s="63"/>
      <c r="F1126" s="63"/>
      <c r="G1126" s="63"/>
    </row>
    <row r="1127" customFormat="false" ht="15.75" hidden="true" customHeight="true" outlineLevel="0" collapsed="false">
      <c r="A1127" s="63" t="n">
        <v>2025</v>
      </c>
      <c r="B1127" s="79" t="s">
        <v>108</v>
      </c>
      <c r="C1127" s="79"/>
      <c r="D1127" s="63"/>
      <c r="E1127" s="63"/>
      <c r="F1127" s="63"/>
      <c r="G1127" s="63"/>
    </row>
    <row r="1128" customFormat="false" ht="15.75" hidden="true" customHeight="true" outlineLevel="0" collapsed="false">
      <c r="A1128" s="63" t="n">
        <v>2025</v>
      </c>
      <c r="B1128" s="79" t="s">
        <v>108</v>
      </c>
      <c r="C1128" s="79"/>
      <c r="D1128" s="63"/>
      <c r="E1128" s="63"/>
      <c r="F1128" s="63"/>
      <c r="G1128" s="63"/>
    </row>
    <row r="1129" customFormat="false" ht="15.75" hidden="true" customHeight="true" outlineLevel="0" collapsed="false">
      <c r="A1129" s="63" t="n">
        <v>2025</v>
      </c>
      <c r="B1129" s="79" t="s">
        <v>108</v>
      </c>
      <c r="C1129" s="79"/>
      <c r="D1129" s="63"/>
      <c r="E1129" s="63"/>
      <c r="F1129" s="63"/>
      <c r="G1129" s="63"/>
    </row>
    <row r="1130" customFormat="false" ht="15.75" hidden="true" customHeight="true" outlineLevel="0" collapsed="false">
      <c r="A1130" s="63" t="n">
        <v>2025</v>
      </c>
      <c r="B1130" s="79" t="s">
        <v>108</v>
      </c>
      <c r="C1130" s="79"/>
      <c r="D1130" s="63"/>
      <c r="E1130" s="63"/>
      <c r="F1130" s="63"/>
      <c r="G1130" s="63"/>
    </row>
    <row r="1131" customFormat="false" ht="15.75" hidden="true" customHeight="true" outlineLevel="0" collapsed="false">
      <c r="A1131" s="63" t="n">
        <v>2025</v>
      </c>
      <c r="B1131" s="79" t="s">
        <v>108</v>
      </c>
      <c r="C1131" s="79"/>
      <c r="D1131" s="63"/>
      <c r="E1131" s="63"/>
      <c r="F1131" s="63"/>
      <c r="G1131" s="63"/>
    </row>
    <row r="1132" customFormat="false" ht="15.75" hidden="true" customHeight="true" outlineLevel="0" collapsed="false">
      <c r="A1132" s="63" t="n">
        <v>2025</v>
      </c>
      <c r="B1132" s="79" t="s">
        <v>108</v>
      </c>
      <c r="C1132" s="79"/>
      <c r="D1132" s="63"/>
      <c r="E1132" s="63"/>
      <c r="F1132" s="63"/>
      <c r="G1132" s="63"/>
    </row>
    <row r="1133" customFormat="false" ht="15.75" hidden="true" customHeight="true" outlineLevel="0" collapsed="false">
      <c r="A1133" s="63" t="n">
        <v>2025</v>
      </c>
      <c r="B1133" s="79" t="s">
        <v>108</v>
      </c>
      <c r="C1133" s="79"/>
      <c r="D1133" s="63"/>
      <c r="E1133" s="63"/>
      <c r="F1133" s="63"/>
      <c r="G1133" s="63"/>
    </row>
    <row r="1134" customFormat="false" ht="15.75" hidden="true" customHeight="true" outlineLevel="0" collapsed="false">
      <c r="A1134" s="63" t="n">
        <v>2025</v>
      </c>
      <c r="B1134" s="79" t="s">
        <v>108</v>
      </c>
      <c r="C1134" s="79"/>
      <c r="D1134" s="63"/>
      <c r="E1134" s="63"/>
      <c r="F1134" s="63"/>
      <c r="G1134" s="63"/>
    </row>
    <row r="1135" customFormat="false" ht="15.75" hidden="true" customHeight="true" outlineLevel="0" collapsed="false">
      <c r="A1135" s="63" t="n">
        <v>2025</v>
      </c>
      <c r="B1135" s="79" t="s">
        <v>108</v>
      </c>
      <c r="C1135" s="79"/>
      <c r="D1135" s="63"/>
      <c r="E1135" s="63"/>
      <c r="F1135" s="63"/>
      <c r="G1135" s="63"/>
    </row>
    <row r="1136" customFormat="false" ht="15.75" hidden="true" customHeight="true" outlineLevel="0" collapsed="false">
      <c r="A1136" s="63" t="n">
        <v>2025</v>
      </c>
      <c r="B1136" s="79" t="s">
        <v>108</v>
      </c>
      <c r="C1136" s="79"/>
      <c r="D1136" s="63"/>
      <c r="E1136" s="63"/>
      <c r="F1136" s="63"/>
      <c r="G1136" s="63"/>
    </row>
    <row r="1137" customFormat="false" ht="15.75" hidden="true" customHeight="true" outlineLevel="0" collapsed="false">
      <c r="A1137" s="63" t="n">
        <v>2025</v>
      </c>
      <c r="B1137" s="79" t="s">
        <v>108</v>
      </c>
      <c r="C1137" s="79"/>
      <c r="D1137" s="63"/>
      <c r="E1137" s="63"/>
      <c r="F1137" s="63"/>
      <c r="G1137" s="63"/>
    </row>
    <row r="1138" customFormat="false" ht="15.75" hidden="true" customHeight="true" outlineLevel="0" collapsed="false">
      <c r="A1138" s="99" t="s">
        <v>434</v>
      </c>
      <c r="B1138" s="99"/>
      <c r="C1138" s="99"/>
      <c r="D1138" s="99"/>
      <c r="E1138" s="99"/>
      <c r="F1138" s="99"/>
      <c r="G1138" s="99"/>
    </row>
    <row r="1139" customFormat="false" ht="15.75" hidden="true" customHeight="true" outlineLevel="0" collapsed="false">
      <c r="A1139" s="63" t="n">
        <v>2025</v>
      </c>
      <c r="B1139" s="79" t="s">
        <v>137</v>
      </c>
      <c r="C1139" s="79"/>
      <c r="D1139" s="63"/>
      <c r="E1139" s="63"/>
      <c r="F1139" s="63"/>
      <c r="G1139" s="63"/>
    </row>
    <row r="1140" customFormat="false" ht="15.75" hidden="true" customHeight="true" outlineLevel="0" collapsed="false">
      <c r="A1140" s="63" t="n">
        <v>2025</v>
      </c>
      <c r="B1140" s="79" t="s">
        <v>137</v>
      </c>
      <c r="C1140" s="79"/>
      <c r="D1140" s="63"/>
      <c r="E1140" s="63"/>
      <c r="F1140" s="63"/>
      <c r="G1140" s="63"/>
    </row>
    <row r="1141" customFormat="false" ht="15.75" hidden="true" customHeight="true" outlineLevel="0" collapsed="false">
      <c r="A1141" s="63" t="n">
        <v>2025</v>
      </c>
      <c r="B1141" s="79" t="s">
        <v>137</v>
      </c>
      <c r="C1141" s="79"/>
      <c r="D1141" s="63"/>
      <c r="E1141" s="63"/>
      <c r="F1141" s="63"/>
      <c r="G1141" s="63"/>
    </row>
    <row r="1142" customFormat="false" ht="15.75" hidden="true" customHeight="true" outlineLevel="0" collapsed="false">
      <c r="A1142" s="63" t="n">
        <v>2025</v>
      </c>
      <c r="B1142" s="79" t="s">
        <v>137</v>
      </c>
      <c r="C1142" s="79"/>
      <c r="D1142" s="63"/>
      <c r="E1142" s="63"/>
      <c r="F1142" s="63"/>
      <c r="G1142" s="63"/>
    </row>
    <row r="1143" customFormat="false" ht="15.75" hidden="true" customHeight="true" outlineLevel="0" collapsed="false">
      <c r="A1143" s="63" t="n">
        <v>2025</v>
      </c>
      <c r="B1143" s="79" t="s">
        <v>137</v>
      </c>
      <c r="C1143" s="79"/>
      <c r="D1143" s="63"/>
      <c r="E1143" s="63"/>
      <c r="F1143" s="63"/>
      <c r="G1143" s="63"/>
    </row>
    <row r="1144" customFormat="false" ht="15.75" hidden="true" customHeight="true" outlineLevel="0" collapsed="false">
      <c r="A1144" s="63" t="n">
        <v>2025</v>
      </c>
      <c r="B1144" s="79" t="s">
        <v>137</v>
      </c>
      <c r="C1144" s="79"/>
      <c r="D1144" s="63"/>
      <c r="E1144" s="63"/>
      <c r="F1144" s="63"/>
      <c r="G1144" s="63"/>
    </row>
    <row r="1145" customFormat="false" ht="15.75" hidden="true" customHeight="true" outlineLevel="0" collapsed="false">
      <c r="A1145" s="63" t="n">
        <v>2025</v>
      </c>
      <c r="B1145" s="79" t="s">
        <v>137</v>
      </c>
      <c r="C1145" s="79"/>
      <c r="D1145" s="63"/>
      <c r="E1145" s="63"/>
      <c r="F1145" s="63"/>
      <c r="G1145" s="63"/>
    </row>
    <row r="1146" customFormat="false" ht="15.75" hidden="true" customHeight="true" outlineLevel="0" collapsed="false">
      <c r="A1146" s="63" t="n">
        <v>2025</v>
      </c>
      <c r="B1146" s="79" t="s">
        <v>137</v>
      </c>
      <c r="C1146" s="79"/>
      <c r="D1146" s="63"/>
      <c r="E1146" s="63"/>
      <c r="F1146" s="63"/>
      <c r="G1146" s="63"/>
    </row>
    <row r="1147" customFormat="false" ht="15.75" hidden="true" customHeight="true" outlineLevel="0" collapsed="false">
      <c r="A1147" s="63" t="n">
        <v>2025</v>
      </c>
      <c r="B1147" s="79" t="s">
        <v>137</v>
      </c>
      <c r="C1147" s="79"/>
      <c r="D1147" s="63"/>
      <c r="E1147" s="63"/>
      <c r="F1147" s="63"/>
      <c r="G1147" s="63"/>
    </row>
    <row r="1148" customFormat="false" ht="15.75" hidden="true" customHeight="true" outlineLevel="0" collapsed="false">
      <c r="A1148" s="63" t="n">
        <v>2025</v>
      </c>
      <c r="B1148" s="79" t="s">
        <v>137</v>
      </c>
      <c r="C1148" s="79"/>
      <c r="D1148" s="63"/>
      <c r="E1148" s="63"/>
      <c r="F1148" s="63"/>
      <c r="G1148" s="63"/>
    </row>
    <row r="1149" customFormat="false" ht="15.75" hidden="true" customHeight="true" outlineLevel="0" collapsed="false">
      <c r="A1149" s="63" t="n">
        <v>2025</v>
      </c>
      <c r="B1149" s="79" t="s">
        <v>137</v>
      </c>
      <c r="C1149" s="79"/>
      <c r="D1149" s="63"/>
      <c r="E1149" s="63"/>
      <c r="F1149" s="63"/>
      <c r="G1149" s="63"/>
    </row>
    <row r="1150" customFormat="false" ht="15.75" hidden="true" customHeight="true" outlineLevel="0" collapsed="false">
      <c r="A1150" s="63" t="n">
        <v>2025</v>
      </c>
      <c r="B1150" s="79" t="s">
        <v>137</v>
      </c>
      <c r="C1150" s="79"/>
      <c r="D1150" s="63"/>
      <c r="E1150" s="63"/>
      <c r="F1150" s="63"/>
      <c r="G1150" s="63"/>
    </row>
    <row r="1151" customFormat="false" ht="15.75" hidden="true" customHeight="true" outlineLevel="0" collapsed="false">
      <c r="A1151" s="63" t="n">
        <v>2025</v>
      </c>
      <c r="B1151" s="79" t="s">
        <v>137</v>
      </c>
      <c r="C1151" s="79"/>
      <c r="D1151" s="63"/>
      <c r="E1151" s="63"/>
      <c r="F1151" s="63"/>
      <c r="G1151" s="63"/>
    </row>
    <row r="1152" customFormat="false" ht="15.75" hidden="true" customHeight="true" outlineLevel="0" collapsed="false">
      <c r="A1152" s="63" t="n">
        <v>2025</v>
      </c>
      <c r="B1152" s="79" t="s">
        <v>137</v>
      </c>
      <c r="C1152" s="79"/>
      <c r="D1152" s="63"/>
      <c r="E1152" s="63"/>
      <c r="F1152" s="63"/>
      <c r="G1152" s="63"/>
    </row>
    <row r="1153" customFormat="false" ht="15.75" hidden="true" customHeight="true" outlineLevel="0" collapsed="false">
      <c r="A1153" s="63" t="n">
        <v>2025</v>
      </c>
      <c r="B1153" s="79" t="s">
        <v>137</v>
      </c>
      <c r="C1153" s="79"/>
      <c r="D1153" s="63"/>
      <c r="E1153" s="63"/>
      <c r="F1153" s="63"/>
      <c r="G1153" s="63"/>
    </row>
    <row r="1154" customFormat="false" ht="15.75" hidden="true" customHeight="true" outlineLevel="0" collapsed="false">
      <c r="A1154" s="63" t="n">
        <v>2025</v>
      </c>
      <c r="B1154" s="79" t="s">
        <v>137</v>
      </c>
      <c r="C1154" s="79"/>
      <c r="D1154" s="63"/>
      <c r="E1154" s="63"/>
      <c r="F1154" s="63"/>
      <c r="G1154" s="63"/>
    </row>
    <row r="1155" customFormat="false" ht="15.75" hidden="true" customHeight="true" outlineLevel="0" collapsed="false">
      <c r="A1155" s="63" t="n">
        <v>2025</v>
      </c>
      <c r="B1155" s="79" t="s">
        <v>137</v>
      </c>
      <c r="C1155" s="79"/>
      <c r="D1155" s="63"/>
      <c r="E1155" s="63"/>
      <c r="F1155" s="63"/>
      <c r="G1155" s="63"/>
    </row>
    <row r="1156" customFormat="false" ht="15.75" hidden="true" customHeight="true" outlineLevel="0" collapsed="false">
      <c r="A1156" s="63" t="n">
        <v>2025</v>
      </c>
      <c r="B1156" s="79" t="s">
        <v>137</v>
      </c>
      <c r="C1156" s="79"/>
      <c r="D1156" s="63"/>
      <c r="E1156" s="63"/>
      <c r="F1156" s="63"/>
      <c r="G1156" s="63"/>
    </row>
    <row r="1157" customFormat="false" ht="15.75" hidden="true" customHeight="true" outlineLevel="0" collapsed="false">
      <c r="A1157" s="63" t="n">
        <v>2025</v>
      </c>
      <c r="B1157" s="79" t="s">
        <v>137</v>
      </c>
      <c r="C1157" s="79"/>
      <c r="D1157" s="63"/>
      <c r="E1157" s="63"/>
      <c r="F1157" s="63"/>
      <c r="G1157" s="63"/>
    </row>
    <row r="1158" customFormat="false" ht="15.75" hidden="true" customHeight="true" outlineLevel="0" collapsed="false">
      <c r="A1158" s="63" t="n">
        <v>2025</v>
      </c>
      <c r="B1158" s="79" t="s">
        <v>137</v>
      </c>
      <c r="C1158" s="79"/>
      <c r="D1158" s="63"/>
      <c r="E1158" s="63"/>
      <c r="F1158" s="63"/>
      <c r="G1158" s="63"/>
    </row>
    <row r="1159" customFormat="false" ht="15.75" hidden="true" customHeight="true" outlineLevel="0" collapsed="false">
      <c r="A1159" s="99" t="s">
        <v>435</v>
      </c>
      <c r="B1159" s="99"/>
      <c r="C1159" s="99"/>
      <c r="D1159" s="99"/>
      <c r="E1159" s="99"/>
      <c r="F1159" s="99"/>
      <c r="G1159" s="99"/>
    </row>
    <row r="1160" customFormat="false" ht="15.75" hidden="true" customHeight="true" outlineLevel="0" collapsed="false">
      <c r="A1160" s="63" t="n">
        <v>2025</v>
      </c>
      <c r="B1160" s="79" t="s">
        <v>166</v>
      </c>
      <c r="C1160" s="79"/>
      <c r="D1160" s="63"/>
      <c r="E1160" s="63"/>
      <c r="F1160" s="63"/>
      <c r="G1160" s="63"/>
    </row>
    <row r="1161" customFormat="false" ht="15.75" hidden="true" customHeight="true" outlineLevel="0" collapsed="false">
      <c r="A1161" s="63" t="n">
        <v>2025</v>
      </c>
      <c r="B1161" s="79" t="s">
        <v>166</v>
      </c>
      <c r="C1161" s="79"/>
      <c r="D1161" s="63"/>
      <c r="E1161" s="63"/>
      <c r="F1161" s="63"/>
      <c r="G1161" s="63"/>
    </row>
    <row r="1162" customFormat="false" ht="15.75" hidden="true" customHeight="true" outlineLevel="0" collapsed="false">
      <c r="A1162" s="63" t="n">
        <v>2025</v>
      </c>
      <c r="B1162" s="79" t="s">
        <v>166</v>
      </c>
      <c r="C1162" s="79"/>
      <c r="D1162" s="63"/>
      <c r="E1162" s="63"/>
      <c r="F1162" s="63"/>
      <c r="G1162" s="63"/>
    </row>
    <row r="1163" customFormat="false" ht="15.75" hidden="true" customHeight="true" outlineLevel="0" collapsed="false">
      <c r="A1163" s="63" t="n">
        <v>2025</v>
      </c>
      <c r="B1163" s="79" t="s">
        <v>166</v>
      </c>
      <c r="C1163" s="79"/>
      <c r="D1163" s="63"/>
      <c r="E1163" s="63"/>
      <c r="F1163" s="63"/>
      <c r="G1163" s="63"/>
    </row>
    <row r="1164" customFormat="false" ht="15.75" hidden="true" customHeight="true" outlineLevel="0" collapsed="false">
      <c r="A1164" s="63" t="n">
        <v>2025</v>
      </c>
      <c r="B1164" s="79" t="s">
        <v>166</v>
      </c>
      <c r="C1164" s="79"/>
      <c r="D1164" s="63"/>
      <c r="E1164" s="63"/>
      <c r="F1164" s="63"/>
      <c r="G1164" s="63"/>
    </row>
    <row r="1165" customFormat="false" ht="15.75" hidden="true" customHeight="true" outlineLevel="0" collapsed="false">
      <c r="A1165" s="63" t="n">
        <v>2025</v>
      </c>
      <c r="B1165" s="79" t="s">
        <v>166</v>
      </c>
      <c r="C1165" s="79"/>
      <c r="D1165" s="63"/>
      <c r="E1165" s="63"/>
      <c r="F1165" s="63"/>
      <c r="G1165" s="63"/>
    </row>
    <row r="1166" customFormat="false" ht="15.75" hidden="true" customHeight="true" outlineLevel="0" collapsed="false">
      <c r="A1166" s="63" t="n">
        <v>2025</v>
      </c>
      <c r="B1166" s="79" t="s">
        <v>166</v>
      </c>
      <c r="C1166" s="79"/>
      <c r="D1166" s="63"/>
      <c r="E1166" s="63"/>
      <c r="F1166" s="63"/>
      <c r="G1166" s="63"/>
    </row>
    <row r="1167" customFormat="false" ht="15.75" hidden="true" customHeight="true" outlineLevel="0" collapsed="false">
      <c r="A1167" s="63" t="n">
        <v>2025</v>
      </c>
      <c r="B1167" s="79" t="s">
        <v>166</v>
      </c>
      <c r="C1167" s="79"/>
      <c r="D1167" s="63"/>
      <c r="E1167" s="63"/>
      <c r="F1167" s="63"/>
      <c r="G1167" s="63"/>
    </row>
    <row r="1168" customFormat="false" ht="15.75" hidden="true" customHeight="true" outlineLevel="0" collapsed="false">
      <c r="A1168" s="63" t="n">
        <v>2025</v>
      </c>
      <c r="B1168" s="79" t="s">
        <v>166</v>
      </c>
      <c r="C1168" s="79"/>
      <c r="D1168" s="63"/>
      <c r="E1168" s="63"/>
      <c r="F1168" s="63"/>
      <c r="G1168" s="63"/>
    </row>
    <row r="1169" customFormat="false" ht="15.75" hidden="true" customHeight="true" outlineLevel="0" collapsed="false">
      <c r="A1169" s="63" t="n">
        <v>2025</v>
      </c>
      <c r="B1169" s="79" t="s">
        <v>166</v>
      </c>
      <c r="C1169" s="79"/>
      <c r="D1169" s="63"/>
      <c r="E1169" s="63"/>
      <c r="F1169" s="63"/>
      <c r="G1169" s="63"/>
    </row>
    <row r="1170" customFormat="false" ht="15.75" hidden="true" customHeight="true" outlineLevel="0" collapsed="false">
      <c r="A1170" s="63" t="n">
        <v>2025</v>
      </c>
      <c r="B1170" s="79" t="s">
        <v>166</v>
      </c>
      <c r="C1170" s="79"/>
      <c r="D1170" s="63"/>
      <c r="E1170" s="63"/>
      <c r="F1170" s="63"/>
      <c r="G1170" s="63"/>
    </row>
    <row r="1171" customFormat="false" ht="15.75" hidden="true" customHeight="true" outlineLevel="0" collapsed="false">
      <c r="A1171" s="63" t="n">
        <v>2025</v>
      </c>
      <c r="B1171" s="79" t="s">
        <v>166</v>
      </c>
      <c r="C1171" s="79"/>
      <c r="D1171" s="63"/>
      <c r="E1171" s="63"/>
      <c r="F1171" s="63"/>
      <c r="G1171" s="63"/>
    </row>
    <row r="1172" customFormat="false" ht="15.75" hidden="true" customHeight="true" outlineLevel="0" collapsed="false">
      <c r="A1172" s="63" t="n">
        <v>2025</v>
      </c>
      <c r="B1172" s="79" t="s">
        <v>166</v>
      </c>
      <c r="C1172" s="79"/>
      <c r="D1172" s="63"/>
      <c r="E1172" s="63"/>
      <c r="F1172" s="63"/>
      <c r="G1172" s="63"/>
    </row>
    <row r="1173" customFormat="false" ht="15.75" hidden="true" customHeight="true" outlineLevel="0" collapsed="false">
      <c r="A1173" s="63" t="n">
        <v>2025</v>
      </c>
      <c r="B1173" s="79" t="s">
        <v>166</v>
      </c>
      <c r="C1173" s="79"/>
      <c r="D1173" s="63"/>
      <c r="E1173" s="63"/>
      <c r="F1173" s="63"/>
      <c r="G1173" s="63"/>
    </row>
    <row r="1174" customFormat="false" ht="15.75" hidden="true" customHeight="true" outlineLevel="0" collapsed="false">
      <c r="A1174" s="63" t="n">
        <v>2025</v>
      </c>
      <c r="B1174" s="79" t="s">
        <v>166</v>
      </c>
      <c r="C1174" s="79"/>
      <c r="D1174" s="63"/>
      <c r="E1174" s="63"/>
      <c r="F1174" s="63"/>
      <c r="G1174" s="63"/>
    </row>
    <row r="1175" customFormat="false" ht="15.75" hidden="true" customHeight="true" outlineLevel="0" collapsed="false">
      <c r="A1175" s="63" t="n">
        <v>2025</v>
      </c>
      <c r="B1175" s="79" t="s">
        <v>166</v>
      </c>
      <c r="C1175" s="79"/>
      <c r="D1175" s="63"/>
      <c r="E1175" s="63"/>
      <c r="F1175" s="63"/>
      <c r="G1175" s="63"/>
    </row>
    <row r="1176" customFormat="false" ht="15.75" hidden="true" customHeight="true" outlineLevel="0" collapsed="false">
      <c r="A1176" s="63" t="n">
        <v>2025</v>
      </c>
      <c r="B1176" s="79" t="s">
        <v>166</v>
      </c>
      <c r="C1176" s="79"/>
      <c r="D1176" s="63"/>
      <c r="E1176" s="63"/>
      <c r="F1176" s="63"/>
      <c r="G1176" s="63"/>
    </row>
    <row r="1177" customFormat="false" ht="15.75" hidden="true" customHeight="true" outlineLevel="0" collapsed="false">
      <c r="A1177" s="63" t="n">
        <v>2025</v>
      </c>
      <c r="B1177" s="79" t="s">
        <v>166</v>
      </c>
      <c r="C1177" s="79"/>
      <c r="D1177" s="63"/>
      <c r="E1177" s="63"/>
      <c r="F1177" s="63"/>
      <c r="G1177" s="63"/>
    </row>
    <row r="1178" customFormat="false" ht="15.75" hidden="true" customHeight="true" outlineLevel="0" collapsed="false">
      <c r="A1178" s="63" t="n">
        <v>2025</v>
      </c>
      <c r="B1178" s="79" t="s">
        <v>166</v>
      </c>
      <c r="C1178" s="79"/>
      <c r="D1178" s="63"/>
      <c r="E1178" s="63"/>
      <c r="F1178" s="63"/>
      <c r="G1178" s="63"/>
    </row>
    <row r="1179" customFormat="false" ht="15.75" hidden="true" customHeight="true" outlineLevel="0" collapsed="false">
      <c r="A1179" s="63" t="n">
        <v>2025</v>
      </c>
      <c r="B1179" s="79" t="s">
        <v>166</v>
      </c>
      <c r="C1179" s="79"/>
      <c r="D1179" s="63"/>
      <c r="E1179" s="63"/>
      <c r="F1179" s="63"/>
      <c r="G1179" s="63"/>
    </row>
    <row r="1180" customFormat="false" ht="15.75" hidden="true" customHeight="true" outlineLevel="0" collapsed="false">
      <c r="A1180" s="99" t="s">
        <v>436</v>
      </c>
      <c r="B1180" s="99"/>
      <c r="C1180" s="99"/>
      <c r="D1180" s="99"/>
      <c r="E1180" s="99"/>
      <c r="F1180" s="99"/>
      <c r="G1180" s="99"/>
    </row>
    <row r="1181" customFormat="false" ht="15.75" hidden="true" customHeight="true" outlineLevel="0" collapsed="false">
      <c r="A1181" s="63" t="n">
        <v>2025</v>
      </c>
      <c r="B1181" s="79" t="s">
        <v>334</v>
      </c>
      <c r="C1181" s="79"/>
      <c r="D1181" s="63"/>
      <c r="E1181" s="63"/>
      <c r="F1181" s="63"/>
      <c r="G1181" s="63"/>
    </row>
    <row r="1182" customFormat="false" ht="15.75" hidden="true" customHeight="true" outlineLevel="0" collapsed="false">
      <c r="A1182" s="63" t="n">
        <v>2025</v>
      </c>
      <c r="B1182" s="79" t="s">
        <v>334</v>
      </c>
      <c r="C1182" s="79"/>
      <c r="D1182" s="63"/>
      <c r="E1182" s="63"/>
      <c r="F1182" s="63"/>
      <c r="G1182" s="63"/>
    </row>
    <row r="1183" customFormat="false" ht="15.75" hidden="true" customHeight="true" outlineLevel="0" collapsed="false">
      <c r="A1183" s="63" t="n">
        <v>2025</v>
      </c>
      <c r="B1183" s="79" t="s">
        <v>334</v>
      </c>
      <c r="C1183" s="79"/>
      <c r="D1183" s="63"/>
      <c r="E1183" s="63"/>
      <c r="F1183" s="63"/>
      <c r="G1183" s="63"/>
    </row>
    <row r="1184" customFormat="false" ht="15.75" hidden="true" customHeight="true" outlineLevel="0" collapsed="false">
      <c r="A1184" s="63" t="n">
        <v>2025</v>
      </c>
      <c r="B1184" s="79" t="s">
        <v>334</v>
      </c>
      <c r="C1184" s="79"/>
      <c r="D1184" s="63"/>
      <c r="E1184" s="63"/>
      <c r="F1184" s="63"/>
      <c r="G1184" s="63"/>
    </row>
    <row r="1185" customFormat="false" ht="15.75" hidden="true" customHeight="true" outlineLevel="0" collapsed="false">
      <c r="A1185" s="63" t="n">
        <v>2025</v>
      </c>
      <c r="B1185" s="79" t="s">
        <v>334</v>
      </c>
      <c r="C1185" s="79"/>
      <c r="D1185" s="63"/>
      <c r="E1185" s="63"/>
      <c r="F1185" s="63"/>
      <c r="G1185" s="63"/>
    </row>
    <row r="1186" customFormat="false" ht="15.75" hidden="true" customHeight="true" outlineLevel="0" collapsed="false">
      <c r="A1186" s="63" t="n">
        <v>2025</v>
      </c>
      <c r="B1186" s="79" t="s">
        <v>334</v>
      </c>
      <c r="C1186" s="79"/>
      <c r="D1186" s="63"/>
      <c r="E1186" s="63"/>
      <c r="F1186" s="63"/>
      <c r="G1186" s="63"/>
    </row>
    <row r="1187" customFormat="false" ht="15.75" hidden="true" customHeight="true" outlineLevel="0" collapsed="false">
      <c r="A1187" s="63" t="n">
        <v>2025</v>
      </c>
      <c r="B1187" s="79" t="s">
        <v>334</v>
      </c>
      <c r="C1187" s="79"/>
      <c r="D1187" s="63"/>
      <c r="E1187" s="63"/>
      <c r="F1187" s="63"/>
      <c r="G1187" s="63"/>
    </row>
    <row r="1188" customFormat="false" ht="15.75" hidden="true" customHeight="true" outlineLevel="0" collapsed="false">
      <c r="A1188" s="63" t="n">
        <v>2025</v>
      </c>
      <c r="B1188" s="79" t="s">
        <v>334</v>
      </c>
      <c r="C1188" s="79"/>
      <c r="D1188" s="63"/>
      <c r="E1188" s="63"/>
      <c r="F1188" s="63"/>
      <c r="G1188" s="63"/>
    </row>
    <row r="1189" customFormat="false" ht="15.75" hidden="true" customHeight="true" outlineLevel="0" collapsed="false">
      <c r="A1189" s="63" t="n">
        <v>2025</v>
      </c>
      <c r="B1189" s="79" t="s">
        <v>334</v>
      </c>
      <c r="C1189" s="79"/>
      <c r="D1189" s="63"/>
      <c r="E1189" s="63"/>
      <c r="F1189" s="63"/>
      <c r="G1189" s="63"/>
    </row>
    <row r="1190" customFormat="false" ht="15.75" hidden="true" customHeight="true" outlineLevel="0" collapsed="false">
      <c r="A1190" s="63" t="n">
        <v>2025</v>
      </c>
      <c r="B1190" s="79" t="s">
        <v>334</v>
      </c>
      <c r="C1190" s="79"/>
      <c r="D1190" s="63"/>
      <c r="E1190" s="63"/>
      <c r="F1190" s="63"/>
      <c r="G1190" s="63"/>
    </row>
    <row r="1191" customFormat="false" ht="15.75" hidden="true" customHeight="true" outlineLevel="0" collapsed="false">
      <c r="A1191" s="63" t="n">
        <v>2025</v>
      </c>
      <c r="B1191" s="79" t="s">
        <v>334</v>
      </c>
      <c r="C1191" s="79"/>
      <c r="D1191" s="63"/>
      <c r="E1191" s="63"/>
      <c r="F1191" s="63"/>
      <c r="G1191" s="63"/>
    </row>
    <row r="1192" customFormat="false" ht="15.75" hidden="true" customHeight="true" outlineLevel="0" collapsed="false">
      <c r="A1192" s="63" t="n">
        <v>2025</v>
      </c>
      <c r="B1192" s="79" t="s">
        <v>334</v>
      </c>
      <c r="C1192" s="79"/>
      <c r="D1192" s="63"/>
      <c r="E1192" s="63"/>
      <c r="F1192" s="63"/>
      <c r="G1192" s="63"/>
    </row>
    <row r="1193" customFormat="false" ht="15.75" hidden="true" customHeight="true" outlineLevel="0" collapsed="false">
      <c r="A1193" s="63" t="n">
        <v>2025</v>
      </c>
      <c r="B1193" s="79" t="s">
        <v>334</v>
      </c>
      <c r="C1193" s="79"/>
      <c r="D1193" s="63"/>
      <c r="E1193" s="63"/>
      <c r="F1193" s="63"/>
      <c r="G1193" s="63"/>
    </row>
    <row r="1194" customFormat="false" ht="15.75" hidden="true" customHeight="true" outlineLevel="0" collapsed="false">
      <c r="A1194" s="63" t="n">
        <v>2025</v>
      </c>
      <c r="B1194" s="79" t="s">
        <v>334</v>
      </c>
      <c r="C1194" s="79"/>
      <c r="D1194" s="63"/>
      <c r="E1194" s="63"/>
      <c r="F1194" s="63"/>
      <c r="G1194" s="63"/>
    </row>
    <row r="1195" customFormat="false" ht="15.75" hidden="true" customHeight="true" outlineLevel="0" collapsed="false">
      <c r="A1195" s="63" t="n">
        <v>2025</v>
      </c>
      <c r="B1195" s="79" t="s">
        <v>334</v>
      </c>
      <c r="C1195" s="79"/>
      <c r="D1195" s="63"/>
      <c r="E1195" s="63"/>
      <c r="F1195" s="63"/>
      <c r="G1195" s="63"/>
    </row>
    <row r="1196" customFormat="false" ht="15.75" hidden="true" customHeight="true" outlineLevel="0" collapsed="false">
      <c r="A1196" s="63" t="n">
        <v>2025</v>
      </c>
      <c r="B1196" s="79" t="s">
        <v>334</v>
      </c>
      <c r="C1196" s="79"/>
      <c r="D1196" s="63"/>
      <c r="E1196" s="63"/>
      <c r="F1196" s="63"/>
      <c r="G1196" s="63"/>
    </row>
    <row r="1197" customFormat="false" ht="15.75" hidden="true" customHeight="true" outlineLevel="0" collapsed="false">
      <c r="A1197" s="63" t="n">
        <v>2025</v>
      </c>
      <c r="B1197" s="79" t="s">
        <v>334</v>
      </c>
      <c r="C1197" s="79"/>
      <c r="D1197" s="63"/>
      <c r="E1197" s="63"/>
      <c r="F1197" s="63"/>
      <c r="G1197" s="63"/>
    </row>
    <row r="1198" customFormat="false" ht="15.75" hidden="true" customHeight="true" outlineLevel="0" collapsed="false">
      <c r="A1198" s="63" t="n">
        <v>2025</v>
      </c>
      <c r="B1198" s="79" t="s">
        <v>334</v>
      </c>
      <c r="C1198" s="79"/>
      <c r="D1198" s="63"/>
      <c r="E1198" s="63"/>
      <c r="F1198" s="63"/>
      <c r="G1198" s="63"/>
    </row>
    <row r="1199" customFormat="false" ht="15.75" hidden="true" customHeight="true" outlineLevel="0" collapsed="false">
      <c r="A1199" s="63" t="n">
        <v>2025</v>
      </c>
      <c r="B1199" s="79" t="s">
        <v>334</v>
      </c>
      <c r="C1199" s="79"/>
      <c r="D1199" s="63"/>
      <c r="E1199" s="63"/>
      <c r="F1199" s="63"/>
      <c r="G1199" s="63"/>
    </row>
    <row r="1200" customFormat="false" ht="15.75" hidden="true" customHeight="true" outlineLevel="0" collapsed="false">
      <c r="A1200" s="63" t="n">
        <v>2025</v>
      </c>
      <c r="B1200" s="79" t="s">
        <v>334</v>
      </c>
      <c r="C1200" s="79"/>
      <c r="D1200" s="63"/>
      <c r="E1200" s="63"/>
      <c r="F1200" s="63"/>
      <c r="G1200" s="63"/>
    </row>
    <row r="1201" customFormat="false" ht="15.75" hidden="true" customHeight="true" outlineLevel="0" collapsed="false">
      <c r="A1201" s="99" t="s">
        <v>437</v>
      </c>
      <c r="B1201" s="99"/>
      <c r="C1201" s="99"/>
      <c r="D1201" s="99"/>
      <c r="E1201" s="99"/>
      <c r="F1201" s="99"/>
      <c r="G1201" s="99"/>
    </row>
    <row r="1202" customFormat="false" ht="15.75" hidden="true" customHeight="true" outlineLevel="0" collapsed="false">
      <c r="A1202" s="63" t="n">
        <v>2025</v>
      </c>
      <c r="B1202" s="79" t="s">
        <v>218</v>
      </c>
      <c r="C1202" s="79"/>
      <c r="D1202" s="63"/>
      <c r="E1202" s="63"/>
      <c r="F1202" s="63"/>
      <c r="G1202" s="63"/>
    </row>
    <row r="1203" customFormat="false" ht="15.75" hidden="true" customHeight="true" outlineLevel="0" collapsed="false">
      <c r="A1203" s="63" t="n">
        <v>2025</v>
      </c>
      <c r="B1203" s="79" t="s">
        <v>218</v>
      </c>
      <c r="C1203" s="79"/>
      <c r="D1203" s="63"/>
      <c r="E1203" s="63"/>
      <c r="F1203" s="63"/>
      <c r="G1203" s="63"/>
    </row>
    <row r="1204" customFormat="false" ht="15.75" hidden="true" customHeight="true" outlineLevel="0" collapsed="false">
      <c r="A1204" s="63" t="n">
        <v>2025</v>
      </c>
      <c r="B1204" s="79" t="s">
        <v>218</v>
      </c>
      <c r="C1204" s="79"/>
      <c r="D1204" s="63"/>
      <c r="E1204" s="63"/>
      <c r="F1204" s="63"/>
      <c r="G1204" s="63"/>
    </row>
    <row r="1205" customFormat="false" ht="15.75" hidden="true" customHeight="true" outlineLevel="0" collapsed="false">
      <c r="A1205" s="63" t="n">
        <v>2025</v>
      </c>
      <c r="B1205" s="79" t="s">
        <v>218</v>
      </c>
      <c r="C1205" s="79"/>
      <c r="D1205" s="63"/>
      <c r="E1205" s="63"/>
      <c r="F1205" s="63"/>
      <c r="G1205" s="63"/>
    </row>
    <row r="1206" customFormat="false" ht="15.75" hidden="true" customHeight="true" outlineLevel="0" collapsed="false">
      <c r="A1206" s="63" t="n">
        <v>2025</v>
      </c>
      <c r="B1206" s="79" t="s">
        <v>218</v>
      </c>
      <c r="C1206" s="79"/>
      <c r="D1206" s="63"/>
      <c r="E1206" s="63"/>
      <c r="F1206" s="63"/>
      <c r="G1206" s="63"/>
    </row>
    <row r="1207" customFormat="false" ht="15.75" hidden="true" customHeight="true" outlineLevel="0" collapsed="false">
      <c r="A1207" s="63" t="n">
        <v>2025</v>
      </c>
      <c r="B1207" s="79" t="s">
        <v>218</v>
      </c>
      <c r="C1207" s="79"/>
      <c r="D1207" s="63"/>
      <c r="E1207" s="63"/>
      <c r="F1207" s="63"/>
      <c r="G1207" s="63"/>
    </row>
    <row r="1208" customFormat="false" ht="15.75" hidden="true" customHeight="true" outlineLevel="0" collapsed="false">
      <c r="A1208" s="63" t="n">
        <v>2025</v>
      </c>
      <c r="B1208" s="79" t="s">
        <v>218</v>
      </c>
      <c r="C1208" s="79"/>
      <c r="D1208" s="63"/>
      <c r="E1208" s="63"/>
      <c r="F1208" s="63"/>
      <c r="G1208" s="63"/>
    </row>
    <row r="1209" customFormat="false" ht="15.75" hidden="true" customHeight="true" outlineLevel="0" collapsed="false">
      <c r="A1209" s="63" t="n">
        <v>2025</v>
      </c>
      <c r="B1209" s="79" t="s">
        <v>218</v>
      </c>
      <c r="C1209" s="79"/>
      <c r="D1209" s="63"/>
      <c r="E1209" s="63"/>
      <c r="F1209" s="63"/>
      <c r="G1209" s="63"/>
    </row>
    <row r="1210" customFormat="false" ht="15.75" hidden="true" customHeight="true" outlineLevel="0" collapsed="false">
      <c r="A1210" s="63" t="n">
        <v>2025</v>
      </c>
      <c r="B1210" s="79" t="s">
        <v>218</v>
      </c>
      <c r="C1210" s="79"/>
      <c r="D1210" s="63"/>
      <c r="E1210" s="63"/>
      <c r="F1210" s="63"/>
      <c r="G1210" s="63"/>
    </row>
    <row r="1211" customFormat="false" ht="15.75" hidden="true" customHeight="true" outlineLevel="0" collapsed="false">
      <c r="A1211" s="63" t="n">
        <v>2025</v>
      </c>
      <c r="B1211" s="79" t="s">
        <v>218</v>
      </c>
      <c r="C1211" s="79"/>
      <c r="D1211" s="63"/>
      <c r="E1211" s="63"/>
      <c r="F1211" s="63"/>
      <c r="G1211" s="63"/>
    </row>
    <row r="1212" customFormat="false" ht="15.75" hidden="true" customHeight="true" outlineLevel="0" collapsed="false">
      <c r="A1212" s="63" t="n">
        <v>2025</v>
      </c>
      <c r="B1212" s="79" t="s">
        <v>218</v>
      </c>
      <c r="C1212" s="79"/>
      <c r="D1212" s="63"/>
      <c r="E1212" s="63"/>
      <c r="F1212" s="63"/>
      <c r="G1212" s="63"/>
    </row>
    <row r="1213" customFormat="false" ht="15.75" hidden="true" customHeight="true" outlineLevel="0" collapsed="false">
      <c r="A1213" s="63" t="n">
        <v>2025</v>
      </c>
      <c r="B1213" s="79" t="s">
        <v>218</v>
      </c>
      <c r="C1213" s="79"/>
      <c r="D1213" s="63"/>
      <c r="E1213" s="63"/>
      <c r="F1213" s="63"/>
      <c r="G1213" s="63"/>
    </row>
    <row r="1214" customFormat="false" ht="15.75" hidden="true" customHeight="true" outlineLevel="0" collapsed="false">
      <c r="A1214" s="63" t="n">
        <v>2025</v>
      </c>
      <c r="B1214" s="79" t="s">
        <v>218</v>
      </c>
      <c r="C1214" s="79"/>
      <c r="D1214" s="63"/>
      <c r="E1214" s="63"/>
      <c r="F1214" s="63"/>
      <c r="G1214" s="63"/>
    </row>
    <row r="1215" customFormat="false" ht="15.75" hidden="true" customHeight="true" outlineLevel="0" collapsed="false">
      <c r="A1215" s="63" t="n">
        <v>2025</v>
      </c>
      <c r="B1215" s="79" t="s">
        <v>218</v>
      </c>
      <c r="C1215" s="79"/>
      <c r="D1215" s="63"/>
      <c r="E1215" s="63"/>
      <c r="F1215" s="63"/>
      <c r="G1215" s="63"/>
    </row>
    <row r="1216" customFormat="false" ht="15.75" hidden="true" customHeight="true" outlineLevel="0" collapsed="false">
      <c r="A1216" s="63" t="n">
        <v>2025</v>
      </c>
      <c r="B1216" s="79" t="s">
        <v>218</v>
      </c>
      <c r="C1216" s="79"/>
      <c r="D1216" s="63"/>
      <c r="E1216" s="63"/>
      <c r="F1216" s="63"/>
      <c r="G1216" s="63"/>
    </row>
    <row r="1217" customFormat="false" ht="15.75" hidden="true" customHeight="true" outlineLevel="0" collapsed="false">
      <c r="A1217" s="63" t="n">
        <v>2025</v>
      </c>
      <c r="B1217" s="79" t="s">
        <v>218</v>
      </c>
      <c r="C1217" s="79"/>
      <c r="D1217" s="63"/>
      <c r="E1217" s="63"/>
      <c r="F1217" s="63"/>
      <c r="G1217" s="63"/>
    </row>
    <row r="1218" customFormat="false" ht="15.75" hidden="true" customHeight="true" outlineLevel="0" collapsed="false">
      <c r="A1218" s="63" t="n">
        <v>2025</v>
      </c>
      <c r="B1218" s="79" t="s">
        <v>218</v>
      </c>
      <c r="C1218" s="79"/>
      <c r="D1218" s="63"/>
      <c r="E1218" s="63"/>
      <c r="F1218" s="63"/>
      <c r="G1218" s="63"/>
    </row>
    <row r="1219" customFormat="false" ht="15.75" hidden="true" customHeight="true" outlineLevel="0" collapsed="false">
      <c r="A1219" s="63" t="n">
        <v>2025</v>
      </c>
      <c r="B1219" s="79" t="s">
        <v>218</v>
      </c>
      <c r="C1219" s="79"/>
      <c r="D1219" s="63"/>
      <c r="E1219" s="63"/>
      <c r="F1219" s="63"/>
      <c r="G1219" s="63"/>
    </row>
    <row r="1220" customFormat="false" ht="15.75" hidden="true" customHeight="true" outlineLevel="0" collapsed="false">
      <c r="A1220" s="63" t="n">
        <v>2025</v>
      </c>
      <c r="B1220" s="79" t="s">
        <v>218</v>
      </c>
      <c r="C1220" s="79"/>
      <c r="D1220" s="63"/>
      <c r="E1220" s="63"/>
      <c r="F1220" s="63"/>
      <c r="G1220" s="63"/>
    </row>
    <row r="1221" customFormat="false" ht="15.75" hidden="true" customHeight="true" outlineLevel="0" collapsed="false">
      <c r="A1221" s="63" t="n">
        <v>2025</v>
      </c>
      <c r="B1221" s="79" t="s">
        <v>218</v>
      </c>
      <c r="C1221" s="79"/>
      <c r="D1221" s="63"/>
      <c r="E1221" s="63"/>
      <c r="F1221" s="63"/>
      <c r="G1221" s="63"/>
    </row>
    <row r="1222" customFormat="false" ht="15.75" hidden="true" customHeight="true" outlineLevel="0" collapsed="false">
      <c r="A1222" s="99" t="s">
        <v>438</v>
      </c>
      <c r="B1222" s="99"/>
      <c r="C1222" s="99"/>
      <c r="D1222" s="99"/>
      <c r="E1222" s="99"/>
      <c r="F1222" s="99"/>
      <c r="G1222" s="99"/>
    </row>
    <row r="1223" customFormat="false" ht="15.75" hidden="true" customHeight="true" outlineLevel="0" collapsed="false">
      <c r="A1223" s="63" t="n">
        <v>2025</v>
      </c>
      <c r="B1223" s="79" t="s">
        <v>244</v>
      </c>
      <c r="C1223" s="79"/>
      <c r="D1223" s="63"/>
      <c r="E1223" s="63"/>
      <c r="F1223" s="63"/>
      <c r="G1223" s="63"/>
    </row>
    <row r="1224" customFormat="false" ht="15.75" hidden="true" customHeight="true" outlineLevel="0" collapsed="false">
      <c r="A1224" s="63" t="n">
        <v>2025</v>
      </c>
      <c r="B1224" s="79" t="s">
        <v>244</v>
      </c>
      <c r="C1224" s="79"/>
      <c r="D1224" s="63"/>
      <c r="E1224" s="63"/>
      <c r="F1224" s="63"/>
      <c r="G1224" s="63"/>
    </row>
    <row r="1225" customFormat="false" ht="15.75" hidden="true" customHeight="true" outlineLevel="0" collapsed="false">
      <c r="A1225" s="63" t="n">
        <v>2025</v>
      </c>
      <c r="B1225" s="79" t="s">
        <v>244</v>
      </c>
      <c r="C1225" s="79"/>
      <c r="D1225" s="63"/>
      <c r="E1225" s="63"/>
      <c r="F1225" s="63"/>
      <c r="G1225" s="63"/>
    </row>
    <row r="1226" customFormat="false" ht="15.75" hidden="true" customHeight="true" outlineLevel="0" collapsed="false">
      <c r="A1226" s="63" t="n">
        <v>2025</v>
      </c>
      <c r="B1226" s="79" t="s">
        <v>244</v>
      </c>
      <c r="C1226" s="79"/>
      <c r="D1226" s="63"/>
      <c r="E1226" s="63"/>
      <c r="F1226" s="63"/>
      <c r="G1226" s="63"/>
    </row>
    <row r="1227" customFormat="false" ht="15.75" hidden="true" customHeight="true" outlineLevel="0" collapsed="false">
      <c r="A1227" s="63" t="n">
        <v>2025</v>
      </c>
      <c r="B1227" s="79" t="s">
        <v>244</v>
      </c>
      <c r="C1227" s="79"/>
      <c r="D1227" s="63"/>
      <c r="E1227" s="63"/>
      <c r="F1227" s="63"/>
      <c r="G1227" s="63"/>
    </row>
    <row r="1228" customFormat="false" ht="15.75" hidden="true" customHeight="true" outlineLevel="0" collapsed="false">
      <c r="A1228" s="63" t="n">
        <v>2025</v>
      </c>
      <c r="B1228" s="79" t="s">
        <v>244</v>
      </c>
      <c r="C1228" s="79"/>
      <c r="D1228" s="63"/>
      <c r="E1228" s="63"/>
      <c r="F1228" s="63"/>
      <c r="G1228" s="63"/>
    </row>
    <row r="1229" customFormat="false" ht="15.75" hidden="true" customHeight="true" outlineLevel="0" collapsed="false">
      <c r="A1229" s="63" t="n">
        <v>2025</v>
      </c>
      <c r="B1229" s="79" t="s">
        <v>244</v>
      </c>
      <c r="C1229" s="79"/>
      <c r="D1229" s="63"/>
      <c r="E1229" s="63"/>
      <c r="F1229" s="63"/>
      <c r="G1229" s="63"/>
    </row>
    <row r="1230" customFormat="false" ht="15.75" hidden="true" customHeight="true" outlineLevel="0" collapsed="false">
      <c r="A1230" s="63" t="n">
        <v>2025</v>
      </c>
      <c r="B1230" s="79" t="s">
        <v>244</v>
      </c>
      <c r="C1230" s="79"/>
      <c r="D1230" s="63"/>
      <c r="E1230" s="63"/>
      <c r="F1230" s="63"/>
      <c r="G1230" s="63"/>
    </row>
    <row r="1231" customFormat="false" ht="15.75" hidden="true" customHeight="true" outlineLevel="0" collapsed="false">
      <c r="A1231" s="63" t="n">
        <v>2025</v>
      </c>
      <c r="B1231" s="79" t="s">
        <v>244</v>
      </c>
      <c r="C1231" s="79"/>
      <c r="D1231" s="63"/>
      <c r="E1231" s="63"/>
      <c r="F1231" s="63"/>
      <c r="G1231" s="63"/>
    </row>
    <row r="1232" customFormat="false" ht="15.75" hidden="true" customHeight="true" outlineLevel="0" collapsed="false">
      <c r="A1232" s="63" t="n">
        <v>2025</v>
      </c>
      <c r="B1232" s="79" t="s">
        <v>244</v>
      </c>
      <c r="C1232" s="79"/>
      <c r="D1232" s="63"/>
      <c r="E1232" s="63"/>
      <c r="F1232" s="63"/>
      <c r="G1232" s="63"/>
    </row>
    <row r="1233" customFormat="false" ht="15.75" hidden="true" customHeight="true" outlineLevel="0" collapsed="false">
      <c r="A1233" s="63" t="n">
        <v>2025</v>
      </c>
      <c r="B1233" s="79" t="s">
        <v>244</v>
      </c>
      <c r="C1233" s="79"/>
      <c r="D1233" s="63"/>
      <c r="E1233" s="63"/>
      <c r="F1233" s="63"/>
      <c r="G1233" s="63"/>
    </row>
    <row r="1234" customFormat="false" ht="15.75" hidden="true" customHeight="true" outlineLevel="0" collapsed="false">
      <c r="A1234" s="63" t="n">
        <v>2025</v>
      </c>
      <c r="B1234" s="79" t="s">
        <v>244</v>
      </c>
      <c r="C1234" s="79"/>
      <c r="D1234" s="63"/>
      <c r="E1234" s="63"/>
      <c r="F1234" s="63"/>
      <c r="G1234" s="63"/>
    </row>
    <row r="1235" customFormat="false" ht="15.75" hidden="true" customHeight="true" outlineLevel="0" collapsed="false">
      <c r="A1235" s="63" t="n">
        <v>2025</v>
      </c>
      <c r="B1235" s="79" t="s">
        <v>244</v>
      </c>
      <c r="C1235" s="79"/>
      <c r="D1235" s="63"/>
      <c r="E1235" s="63"/>
      <c r="F1235" s="63"/>
      <c r="G1235" s="63"/>
    </row>
    <row r="1236" customFormat="false" ht="15.75" hidden="true" customHeight="true" outlineLevel="0" collapsed="false">
      <c r="A1236" s="63" t="n">
        <v>2025</v>
      </c>
      <c r="B1236" s="79" t="s">
        <v>244</v>
      </c>
      <c r="C1236" s="79"/>
      <c r="D1236" s="63"/>
      <c r="E1236" s="63"/>
      <c r="F1236" s="63"/>
      <c r="G1236" s="63"/>
    </row>
    <row r="1237" customFormat="false" ht="15.75" hidden="true" customHeight="true" outlineLevel="0" collapsed="false">
      <c r="A1237" s="63" t="n">
        <v>2025</v>
      </c>
      <c r="B1237" s="79" t="s">
        <v>244</v>
      </c>
      <c r="C1237" s="79"/>
      <c r="D1237" s="63"/>
      <c r="E1237" s="63"/>
      <c r="F1237" s="63"/>
      <c r="G1237" s="63"/>
    </row>
    <row r="1238" customFormat="false" ht="15.75" hidden="true" customHeight="true" outlineLevel="0" collapsed="false">
      <c r="A1238" s="63" t="n">
        <v>2025</v>
      </c>
      <c r="B1238" s="79" t="s">
        <v>244</v>
      </c>
      <c r="C1238" s="79"/>
      <c r="D1238" s="63"/>
      <c r="E1238" s="63"/>
      <c r="F1238" s="63"/>
      <c r="G1238" s="63"/>
    </row>
    <row r="1239" customFormat="false" ht="15.75" hidden="true" customHeight="true" outlineLevel="0" collapsed="false">
      <c r="A1239" s="63" t="n">
        <v>2025</v>
      </c>
      <c r="B1239" s="79" t="s">
        <v>244</v>
      </c>
      <c r="C1239" s="79"/>
      <c r="D1239" s="63"/>
      <c r="E1239" s="63"/>
      <c r="F1239" s="63"/>
      <c r="G1239" s="63"/>
    </row>
    <row r="1240" customFormat="false" ht="15.75" hidden="true" customHeight="true" outlineLevel="0" collapsed="false">
      <c r="A1240" s="63" t="n">
        <v>2025</v>
      </c>
      <c r="B1240" s="79" t="s">
        <v>244</v>
      </c>
      <c r="C1240" s="79"/>
      <c r="D1240" s="63"/>
      <c r="E1240" s="63"/>
      <c r="F1240" s="63"/>
      <c r="G1240" s="63"/>
    </row>
    <row r="1241" customFormat="false" ht="15.75" hidden="true" customHeight="true" outlineLevel="0" collapsed="false">
      <c r="A1241" s="63" t="n">
        <v>2025</v>
      </c>
      <c r="B1241" s="79" t="s">
        <v>244</v>
      </c>
      <c r="C1241" s="79"/>
      <c r="D1241" s="63"/>
      <c r="E1241" s="63"/>
      <c r="F1241" s="63"/>
      <c r="G1241" s="63"/>
    </row>
    <row r="1242" customFormat="false" ht="15.75" hidden="true" customHeight="true" outlineLevel="0" collapsed="false">
      <c r="A1242" s="63" t="n">
        <v>2025</v>
      </c>
      <c r="B1242" s="79" t="s">
        <v>244</v>
      </c>
      <c r="C1242" s="79"/>
      <c r="D1242" s="63"/>
      <c r="E1242" s="63"/>
      <c r="F1242" s="63"/>
      <c r="G1242" s="63"/>
    </row>
    <row r="1243" customFormat="false" ht="15.75" hidden="true" customHeight="true" outlineLevel="0" collapsed="false">
      <c r="A1243" s="99" t="s">
        <v>439</v>
      </c>
      <c r="B1243" s="99"/>
      <c r="C1243" s="99"/>
      <c r="D1243" s="99"/>
      <c r="E1243" s="99"/>
      <c r="F1243" s="99"/>
      <c r="G1243" s="99"/>
    </row>
    <row r="1244" customFormat="false" ht="15.75" hidden="true" customHeight="true" outlineLevel="0" collapsed="false">
      <c r="A1244" s="63" t="n">
        <v>2025</v>
      </c>
      <c r="B1244" s="79" t="s">
        <v>270</v>
      </c>
      <c r="C1244" s="79"/>
      <c r="D1244" s="63"/>
      <c r="E1244" s="63"/>
      <c r="F1244" s="63"/>
      <c r="G1244" s="63"/>
    </row>
    <row r="1245" customFormat="false" ht="15.75" hidden="true" customHeight="true" outlineLevel="0" collapsed="false">
      <c r="A1245" s="63" t="n">
        <v>2025</v>
      </c>
      <c r="B1245" s="79" t="s">
        <v>270</v>
      </c>
      <c r="C1245" s="79"/>
      <c r="D1245" s="63"/>
      <c r="E1245" s="63"/>
      <c r="F1245" s="63"/>
      <c r="G1245" s="63"/>
    </row>
    <row r="1246" customFormat="false" ht="15.75" hidden="true" customHeight="true" outlineLevel="0" collapsed="false">
      <c r="A1246" s="63" t="n">
        <v>2025</v>
      </c>
      <c r="B1246" s="79" t="s">
        <v>270</v>
      </c>
      <c r="C1246" s="79"/>
      <c r="D1246" s="63"/>
      <c r="E1246" s="63"/>
      <c r="F1246" s="63"/>
      <c r="G1246" s="63"/>
    </row>
    <row r="1247" customFormat="false" ht="15.75" hidden="true" customHeight="true" outlineLevel="0" collapsed="false">
      <c r="A1247" s="63" t="n">
        <v>2025</v>
      </c>
      <c r="B1247" s="79" t="s">
        <v>270</v>
      </c>
      <c r="C1247" s="79"/>
      <c r="D1247" s="63"/>
      <c r="E1247" s="63"/>
      <c r="F1247" s="63"/>
      <c r="G1247" s="63"/>
    </row>
    <row r="1248" customFormat="false" ht="15.75" hidden="true" customHeight="true" outlineLevel="0" collapsed="false">
      <c r="A1248" s="63" t="n">
        <v>2025</v>
      </c>
      <c r="B1248" s="79" t="s">
        <v>270</v>
      </c>
      <c r="C1248" s="79"/>
      <c r="D1248" s="63"/>
      <c r="E1248" s="63"/>
      <c r="F1248" s="63"/>
      <c r="G1248" s="63"/>
    </row>
    <row r="1249" customFormat="false" ht="15.75" hidden="true" customHeight="true" outlineLevel="0" collapsed="false">
      <c r="A1249" s="63" t="n">
        <v>2025</v>
      </c>
      <c r="B1249" s="79" t="s">
        <v>270</v>
      </c>
      <c r="C1249" s="79"/>
      <c r="D1249" s="63"/>
      <c r="E1249" s="63"/>
      <c r="F1249" s="63"/>
      <c r="G1249" s="63"/>
    </row>
    <row r="1250" customFormat="false" ht="15.75" hidden="true" customHeight="true" outlineLevel="0" collapsed="false">
      <c r="A1250" s="63" t="n">
        <v>2025</v>
      </c>
      <c r="B1250" s="79" t="s">
        <v>270</v>
      </c>
      <c r="C1250" s="79"/>
      <c r="D1250" s="63"/>
      <c r="E1250" s="63"/>
      <c r="F1250" s="63"/>
      <c r="G1250" s="63"/>
    </row>
    <row r="1251" customFormat="false" ht="15.75" hidden="true" customHeight="true" outlineLevel="0" collapsed="false">
      <c r="A1251" s="63" t="n">
        <v>2025</v>
      </c>
      <c r="B1251" s="79" t="s">
        <v>270</v>
      </c>
      <c r="C1251" s="79"/>
      <c r="D1251" s="63"/>
      <c r="E1251" s="63"/>
      <c r="F1251" s="63"/>
      <c r="G1251" s="63"/>
    </row>
    <row r="1252" customFormat="false" ht="15.75" hidden="true" customHeight="true" outlineLevel="0" collapsed="false">
      <c r="A1252" s="63" t="n">
        <v>2025</v>
      </c>
      <c r="B1252" s="79" t="s">
        <v>270</v>
      </c>
      <c r="C1252" s="79"/>
      <c r="D1252" s="63"/>
      <c r="E1252" s="63"/>
      <c r="F1252" s="63"/>
      <c r="G1252" s="63"/>
    </row>
    <row r="1253" customFormat="false" ht="15.75" hidden="true" customHeight="true" outlineLevel="0" collapsed="false">
      <c r="A1253" s="63" t="n">
        <v>2025</v>
      </c>
      <c r="B1253" s="79" t="s">
        <v>270</v>
      </c>
      <c r="C1253" s="79"/>
      <c r="D1253" s="63"/>
      <c r="E1253" s="63"/>
      <c r="F1253" s="63"/>
      <c r="G1253" s="63"/>
    </row>
    <row r="1254" customFormat="false" ht="15.75" hidden="true" customHeight="true" outlineLevel="0" collapsed="false">
      <c r="A1254" s="63" t="n">
        <v>2025</v>
      </c>
      <c r="B1254" s="79" t="s">
        <v>270</v>
      </c>
      <c r="C1254" s="79"/>
      <c r="D1254" s="63"/>
      <c r="E1254" s="63"/>
      <c r="F1254" s="63"/>
      <c r="G1254" s="63"/>
    </row>
    <row r="1255" customFormat="false" ht="15.75" hidden="true" customHeight="true" outlineLevel="0" collapsed="false">
      <c r="A1255" s="63" t="n">
        <v>2025</v>
      </c>
      <c r="B1255" s="79" t="s">
        <v>270</v>
      </c>
      <c r="C1255" s="79"/>
      <c r="D1255" s="63"/>
      <c r="E1255" s="63"/>
      <c r="F1255" s="63"/>
      <c r="G1255" s="63"/>
    </row>
    <row r="1256" customFormat="false" ht="15.75" hidden="true" customHeight="true" outlineLevel="0" collapsed="false">
      <c r="A1256" s="63" t="n">
        <v>2025</v>
      </c>
      <c r="B1256" s="79" t="s">
        <v>270</v>
      </c>
      <c r="C1256" s="79"/>
      <c r="D1256" s="63"/>
      <c r="E1256" s="63"/>
      <c r="F1256" s="63"/>
      <c r="G1256" s="63"/>
    </row>
    <row r="1257" customFormat="false" ht="15.75" hidden="true" customHeight="true" outlineLevel="0" collapsed="false">
      <c r="A1257" s="63" t="n">
        <v>2025</v>
      </c>
      <c r="B1257" s="79" t="s">
        <v>270</v>
      </c>
      <c r="C1257" s="79"/>
      <c r="D1257" s="63"/>
      <c r="E1257" s="63"/>
      <c r="F1257" s="63"/>
      <c r="G1257" s="63"/>
    </row>
    <row r="1258" customFormat="false" ht="15.75" hidden="true" customHeight="true" outlineLevel="0" collapsed="false">
      <c r="A1258" s="63" t="n">
        <v>2025</v>
      </c>
      <c r="B1258" s="79" t="s">
        <v>270</v>
      </c>
      <c r="C1258" s="79"/>
      <c r="D1258" s="63"/>
      <c r="E1258" s="63"/>
      <c r="F1258" s="63"/>
      <c r="G1258" s="63"/>
    </row>
    <row r="1259" customFormat="false" ht="15.75" hidden="true" customHeight="true" outlineLevel="0" collapsed="false">
      <c r="A1259" s="63" t="n">
        <v>2025</v>
      </c>
      <c r="B1259" s="79" t="s">
        <v>270</v>
      </c>
      <c r="C1259" s="79"/>
      <c r="D1259" s="63"/>
      <c r="E1259" s="63"/>
      <c r="F1259" s="63"/>
      <c r="G1259" s="63"/>
    </row>
    <row r="1260" customFormat="false" ht="15.75" hidden="true" customHeight="true" outlineLevel="0" collapsed="false">
      <c r="A1260" s="63" t="n">
        <v>2025</v>
      </c>
      <c r="B1260" s="79" t="s">
        <v>270</v>
      </c>
      <c r="C1260" s="79"/>
      <c r="D1260" s="63"/>
      <c r="E1260" s="63"/>
      <c r="F1260" s="63"/>
      <c r="G1260" s="63"/>
    </row>
    <row r="1261" customFormat="false" ht="15.75" hidden="true" customHeight="true" outlineLevel="0" collapsed="false">
      <c r="A1261" s="63" t="n">
        <v>2025</v>
      </c>
      <c r="B1261" s="79" t="s">
        <v>270</v>
      </c>
      <c r="C1261" s="79"/>
      <c r="D1261" s="63"/>
      <c r="E1261" s="63"/>
      <c r="F1261" s="63"/>
      <c r="G1261" s="63"/>
    </row>
    <row r="1262" customFormat="false" ht="15.75" hidden="true" customHeight="true" outlineLevel="0" collapsed="false">
      <c r="A1262" s="63" t="n">
        <v>2025</v>
      </c>
      <c r="B1262" s="79" t="s">
        <v>270</v>
      </c>
      <c r="C1262" s="79"/>
      <c r="D1262" s="63"/>
      <c r="E1262" s="63"/>
      <c r="F1262" s="63"/>
      <c r="G1262" s="63"/>
    </row>
    <row r="1263" customFormat="false" ht="15.75" hidden="true" customHeight="true" outlineLevel="0" collapsed="false">
      <c r="A1263" s="63" t="n">
        <v>2025</v>
      </c>
      <c r="B1263" s="79" t="s">
        <v>270</v>
      </c>
      <c r="C1263" s="79"/>
      <c r="D1263" s="63"/>
      <c r="E1263" s="63"/>
      <c r="F1263" s="63"/>
      <c r="G1263" s="63"/>
    </row>
    <row r="1264" customFormat="false" ht="15.75" hidden="true" customHeight="true" outlineLevel="0" collapsed="false">
      <c r="A1264" s="99" t="s">
        <v>440</v>
      </c>
      <c r="B1264" s="99"/>
      <c r="C1264" s="99"/>
      <c r="D1264" s="99"/>
      <c r="E1264" s="99"/>
      <c r="F1264" s="99"/>
      <c r="G1264" s="99"/>
    </row>
    <row r="1265" customFormat="false" ht="15.75" hidden="true" customHeight="true" outlineLevel="0" collapsed="false">
      <c r="A1265" s="63" t="n">
        <v>2026</v>
      </c>
      <c r="B1265" s="79" t="s">
        <v>330</v>
      </c>
      <c r="C1265" s="79"/>
      <c r="D1265" s="63"/>
      <c r="E1265" s="63"/>
      <c r="F1265" s="63"/>
      <c r="G1265" s="63"/>
    </row>
    <row r="1266" customFormat="false" ht="15.75" hidden="true" customHeight="true" outlineLevel="0" collapsed="false">
      <c r="A1266" s="63" t="n">
        <v>2026</v>
      </c>
      <c r="B1266" s="79" t="s">
        <v>330</v>
      </c>
      <c r="C1266" s="79"/>
      <c r="D1266" s="63"/>
      <c r="E1266" s="63"/>
      <c r="F1266" s="63"/>
      <c r="G1266" s="63"/>
    </row>
    <row r="1267" customFormat="false" ht="15.75" hidden="true" customHeight="true" outlineLevel="0" collapsed="false">
      <c r="A1267" s="63" t="n">
        <v>2026</v>
      </c>
      <c r="B1267" s="79" t="s">
        <v>330</v>
      </c>
      <c r="C1267" s="79"/>
      <c r="D1267" s="63"/>
      <c r="E1267" s="63"/>
      <c r="F1267" s="63"/>
      <c r="G1267" s="63"/>
    </row>
    <row r="1268" customFormat="false" ht="15.75" hidden="true" customHeight="true" outlineLevel="0" collapsed="false">
      <c r="A1268" s="63" t="n">
        <v>2026</v>
      </c>
      <c r="B1268" s="79" t="s">
        <v>330</v>
      </c>
      <c r="C1268" s="79"/>
      <c r="D1268" s="63"/>
      <c r="E1268" s="63"/>
      <c r="F1268" s="63"/>
      <c r="G1268" s="63"/>
    </row>
    <row r="1269" customFormat="false" ht="15.75" hidden="true" customHeight="true" outlineLevel="0" collapsed="false">
      <c r="A1269" s="63" t="n">
        <v>2026</v>
      </c>
      <c r="B1269" s="79" t="s">
        <v>330</v>
      </c>
      <c r="C1269" s="79"/>
      <c r="D1269" s="63"/>
      <c r="E1269" s="63"/>
      <c r="F1269" s="63"/>
      <c r="G1269" s="63"/>
    </row>
    <row r="1270" customFormat="false" ht="15.75" hidden="true" customHeight="true" outlineLevel="0" collapsed="false">
      <c r="A1270" s="63" t="n">
        <v>2026</v>
      </c>
      <c r="B1270" s="79" t="s">
        <v>330</v>
      </c>
      <c r="C1270" s="79"/>
      <c r="D1270" s="63"/>
      <c r="E1270" s="63"/>
      <c r="F1270" s="63"/>
      <c r="G1270" s="63"/>
    </row>
    <row r="1271" customFormat="false" ht="15.75" hidden="true" customHeight="true" outlineLevel="0" collapsed="false">
      <c r="A1271" s="63" t="n">
        <v>2026</v>
      </c>
      <c r="B1271" s="79" t="s">
        <v>330</v>
      </c>
      <c r="C1271" s="79"/>
      <c r="D1271" s="63"/>
      <c r="E1271" s="63"/>
      <c r="F1271" s="63"/>
      <c r="G1271" s="63"/>
    </row>
    <row r="1272" customFormat="false" ht="15.75" hidden="true" customHeight="true" outlineLevel="0" collapsed="false">
      <c r="A1272" s="63" t="n">
        <v>2026</v>
      </c>
      <c r="B1272" s="79" t="s">
        <v>330</v>
      </c>
      <c r="C1272" s="79"/>
      <c r="D1272" s="63"/>
      <c r="E1272" s="63"/>
      <c r="F1272" s="63"/>
      <c r="G1272" s="63"/>
    </row>
    <row r="1273" customFormat="false" ht="15.75" hidden="true" customHeight="true" outlineLevel="0" collapsed="false">
      <c r="A1273" s="63" t="n">
        <v>2026</v>
      </c>
      <c r="B1273" s="79" t="s">
        <v>330</v>
      </c>
      <c r="C1273" s="79"/>
      <c r="D1273" s="63"/>
      <c r="E1273" s="63"/>
      <c r="F1273" s="63"/>
      <c r="G1273" s="63"/>
    </row>
    <row r="1274" customFormat="false" ht="15.75" hidden="true" customHeight="true" outlineLevel="0" collapsed="false">
      <c r="A1274" s="63" t="n">
        <v>2026</v>
      </c>
      <c r="B1274" s="79" t="s">
        <v>330</v>
      </c>
      <c r="C1274" s="79"/>
      <c r="D1274" s="63"/>
      <c r="E1274" s="63"/>
      <c r="F1274" s="63"/>
      <c r="G1274" s="63"/>
    </row>
    <row r="1275" customFormat="false" ht="15.75" hidden="true" customHeight="true" outlineLevel="0" collapsed="false">
      <c r="A1275" s="63" t="n">
        <v>2026</v>
      </c>
      <c r="B1275" s="79" t="s">
        <v>330</v>
      </c>
      <c r="C1275" s="79"/>
      <c r="D1275" s="63"/>
      <c r="E1275" s="63"/>
      <c r="F1275" s="63"/>
      <c r="G1275" s="63"/>
    </row>
    <row r="1276" customFormat="false" ht="15.75" hidden="true" customHeight="true" outlineLevel="0" collapsed="false">
      <c r="A1276" s="63" t="n">
        <v>2026</v>
      </c>
      <c r="B1276" s="79" t="s">
        <v>330</v>
      </c>
      <c r="C1276" s="79"/>
      <c r="D1276" s="63"/>
      <c r="E1276" s="63"/>
      <c r="F1276" s="63"/>
      <c r="G1276" s="63"/>
    </row>
    <row r="1277" customFormat="false" ht="15.75" hidden="true" customHeight="true" outlineLevel="0" collapsed="false">
      <c r="A1277" s="63" t="n">
        <v>2026</v>
      </c>
      <c r="B1277" s="79" t="s">
        <v>330</v>
      </c>
      <c r="C1277" s="79"/>
      <c r="D1277" s="63"/>
      <c r="E1277" s="63"/>
      <c r="F1277" s="63"/>
      <c r="G1277" s="63"/>
    </row>
    <row r="1278" customFormat="false" ht="15.75" hidden="true" customHeight="true" outlineLevel="0" collapsed="false">
      <c r="A1278" s="63" t="n">
        <v>2026</v>
      </c>
      <c r="B1278" s="79" t="s">
        <v>330</v>
      </c>
      <c r="C1278" s="79"/>
      <c r="D1278" s="63"/>
      <c r="E1278" s="63"/>
      <c r="F1278" s="63"/>
      <c r="G1278" s="63"/>
    </row>
    <row r="1279" customFormat="false" ht="15.75" hidden="true" customHeight="true" outlineLevel="0" collapsed="false">
      <c r="A1279" s="63" t="n">
        <v>2026</v>
      </c>
      <c r="B1279" s="79" t="s">
        <v>330</v>
      </c>
      <c r="C1279" s="79"/>
      <c r="D1279" s="63"/>
      <c r="E1279" s="63"/>
      <c r="F1279" s="63"/>
      <c r="G1279" s="63"/>
    </row>
    <row r="1280" customFormat="false" ht="15.75" hidden="true" customHeight="true" outlineLevel="0" collapsed="false">
      <c r="A1280" s="63" t="n">
        <v>2026</v>
      </c>
      <c r="B1280" s="79" t="s">
        <v>330</v>
      </c>
      <c r="C1280" s="79"/>
      <c r="D1280" s="63"/>
      <c r="E1280" s="63"/>
      <c r="F1280" s="63"/>
      <c r="G1280" s="63"/>
    </row>
    <row r="1281" customFormat="false" ht="15.75" hidden="true" customHeight="true" outlineLevel="0" collapsed="false">
      <c r="A1281" s="63" t="n">
        <v>2026</v>
      </c>
      <c r="B1281" s="79" t="s">
        <v>330</v>
      </c>
      <c r="C1281" s="79"/>
      <c r="D1281" s="63"/>
      <c r="E1281" s="63"/>
      <c r="F1281" s="63"/>
      <c r="G1281" s="63"/>
    </row>
    <row r="1282" customFormat="false" ht="15.75" hidden="true" customHeight="true" outlineLevel="0" collapsed="false">
      <c r="A1282" s="63" t="n">
        <v>2026</v>
      </c>
      <c r="B1282" s="79" t="s">
        <v>330</v>
      </c>
      <c r="C1282" s="79"/>
      <c r="D1282" s="63"/>
      <c r="E1282" s="63"/>
      <c r="F1282" s="63"/>
      <c r="G1282" s="63"/>
    </row>
    <row r="1283" customFormat="false" ht="15.75" hidden="true" customHeight="true" outlineLevel="0" collapsed="false">
      <c r="A1283" s="63" t="n">
        <v>2026</v>
      </c>
      <c r="B1283" s="79" t="s">
        <v>330</v>
      </c>
      <c r="C1283" s="79"/>
      <c r="D1283" s="63"/>
      <c r="E1283" s="63"/>
      <c r="F1283" s="63"/>
      <c r="G1283" s="63"/>
    </row>
    <row r="1284" customFormat="false" ht="15.75" hidden="true" customHeight="true" outlineLevel="0" collapsed="false">
      <c r="A1284" s="63" t="n">
        <v>2026</v>
      </c>
      <c r="B1284" s="79" t="s">
        <v>330</v>
      </c>
      <c r="C1284" s="79"/>
      <c r="D1284" s="63"/>
      <c r="E1284" s="63"/>
      <c r="F1284" s="63"/>
      <c r="G1284" s="63"/>
    </row>
    <row r="1285" customFormat="false" ht="15.75" hidden="true" customHeight="true" outlineLevel="0" collapsed="false">
      <c r="A1285" s="99" t="s">
        <v>441</v>
      </c>
      <c r="B1285" s="99"/>
      <c r="C1285" s="99"/>
      <c r="D1285" s="99"/>
      <c r="E1285" s="99"/>
      <c r="F1285" s="99"/>
      <c r="G1285" s="99"/>
    </row>
    <row r="1286" customFormat="false" ht="15.75" hidden="true" customHeight="true" outlineLevel="0" collapsed="false">
      <c r="A1286" s="63" t="n">
        <v>2026</v>
      </c>
      <c r="B1286" s="79" t="s">
        <v>331</v>
      </c>
      <c r="C1286" s="79"/>
      <c r="D1286" s="63"/>
      <c r="E1286" s="63"/>
      <c r="F1286" s="63"/>
      <c r="G1286" s="63"/>
    </row>
    <row r="1287" customFormat="false" ht="15.75" hidden="true" customHeight="true" outlineLevel="0" collapsed="false">
      <c r="A1287" s="63" t="n">
        <v>2026</v>
      </c>
      <c r="B1287" s="79" t="s">
        <v>331</v>
      </c>
      <c r="C1287" s="79"/>
      <c r="D1287" s="63"/>
      <c r="E1287" s="63"/>
      <c r="F1287" s="63"/>
      <c r="G1287" s="63"/>
    </row>
    <row r="1288" customFormat="false" ht="15.75" hidden="true" customHeight="true" outlineLevel="0" collapsed="false">
      <c r="A1288" s="63" t="n">
        <v>2026</v>
      </c>
      <c r="B1288" s="79" t="s">
        <v>331</v>
      </c>
      <c r="C1288" s="79"/>
      <c r="D1288" s="63"/>
      <c r="E1288" s="63"/>
      <c r="F1288" s="63"/>
      <c r="G1288" s="63"/>
    </row>
    <row r="1289" customFormat="false" ht="15.75" hidden="true" customHeight="true" outlineLevel="0" collapsed="false">
      <c r="A1289" s="63" t="n">
        <v>2026</v>
      </c>
      <c r="B1289" s="79" t="s">
        <v>331</v>
      </c>
      <c r="C1289" s="79"/>
      <c r="D1289" s="63"/>
      <c r="E1289" s="63"/>
      <c r="F1289" s="63"/>
      <c r="G1289" s="63"/>
    </row>
    <row r="1290" customFormat="false" ht="15.75" hidden="true" customHeight="true" outlineLevel="0" collapsed="false">
      <c r="A1290" s="63" t="n">
        <v>2026</v>
      </c>
      <c r="B1290" s="79" t="s">
        <v>331</v>
      </c>
      <c r="C1290" s="79"/>
      <c r="D1290" s="63"/>
      <c r="E1290" s="63"/>
      <c r="F1290" s="63"/>
      <c r="G1290" s="63"/>
    </row>
    <row r="1291" customFormat="false" ht="15.75" hidden="true" customHeight="true" outlineLevel="0" collapsed="false">
      <c r="A1291" s="63" t="n">
        <v>2026</v>
      </c>
      <c r="B1291" s="79" t="s">
        <v>331</v>
      </c>
      <c r="C1291" s="79"/>
      <c r="D1291" s="63"/>
      <c r="E1291" s="63"/>
      <c r="F1291" s="63"/>
      <c r="G1291" s="63"/>
    </row>
    <row r="1292" customFormat="false" ht="15.75" hidden="true" customHeight="true" outlineLevel="0" collapsed="false">
      <c r="A1292" s="63" t="n">
        <v>2026</v>
      </c>
      <c r="B1292" s="79" t="s">
        <v>331</v>
      </c>
      <c r="C1292" s="79"/>
      <c r="D1292" s="63"/>
      <c r="E1292" s="63"/>
      <c r="F1292" s="63"/>
      <c r="G1292" s="63"/>
    </row>
    <row r="1293" customFormat="false" ht="15.75" hidden="true" customHeight="true" outlineLevel="0" collapsed="false">
      <c r="A1293" s="63" t="n">
        <v>2026</v>
      </c>
      <c r="B1293" s="79" t="s">
        <v>331</v>
      </c>
      <c r="C1293" s="79"/>
      <c r="D1293" s="63"/>
      <c r="E1293" s="63"/>
      <c r="F1293" s="63"/>
      <c r="G1293" s="63"/>
    </row>
    <row r="1294" customFormat="false" ht="15.75" hidden="true" customHeight="true" outlineLevel="0" collapsed="false">
      <c r="A1294" s="63" t="n">
        <v>2026</v>
      </c>
      <c r="B1294" s="79" t="s">
        <v>331</v>
      </c>
      <c r="C1294" s="79"/>
      <c r="D1294" s="63"/>
      <c r="E1294" s="63"/>
      <c r="F1294" s="63"/>
      <c r="G1294" s="63"/>
    </row>
    <row r="1295" customFormat="false" ht="15.75" hidden="true" customHeight="true" outlineLevel="0" collapsed="false">
      <c r="A1295" s="63" t="n">
        <v>2026</v>
      </c>
      <c r="B1295" s="79" t="s">
        <v>331</v>
      </c>
      <c r="C1295" s="79"/>
      <c r="D1295" s="63"/>
      <c r="E1295" s="63"/>
      <c r="F1295" s="63"/>
      <c r="G1295" s="63"/>
    </row>
    <row r="1296" customFormat="false" ht="15.75" hidden="true" customHeight="true" outlineLevel="0" collapsed="false">
      <c r="A1296" s="63" t="n">
        <v>2026</v>
      </c>
      <c r="B1296" s="79" t="s">
        <v>331</v>
      </c>
      <c r="C1296" s="79"/>
      <c r="D1296" s="63"/>
      <c r="E1296" s="63"/>
      <c r="F1296" s="63"/>
      <c r="G1296" s="63"/>
    </row>
    <row r="1297" customFormat="false" ht="15.75" hidden="true" customHeight="true" outlineLevel="0" collapsed="false">
      <c r="A1297" s="63" t="n">
        <v>2026</v>
      </c>
      <c r="B1297" s="79" t="s">
        <v>331</v>
      </c>
      <c r="C1297" s="79"/>
      <c r="D1297" s="63"/>
      <c r="E1297" s="63"/>
      <c r="F1297" s="63"/>
      <c r="G1297" s="63"/>
    </row>
    <row r="1298" customFormat="false" ht="15.75" hidden="true" customHeight="true" outlineLevel="0" collapsed="false">
      <c r="A1298" s="63" t="n">
        <v>2026</v>
      </c>
      <c r="B1298" s="79" t="s">
        <v>331</v>
      </c>
      <c r="C1298" s="79"/>
      <c r="D1298" s="63"/>
      <c r="E1298" s="63"/>
      <c r="F1298" s="63"/>
      <c r="G1298" s="63"/>
    </row>
    <row r="1299" customFormat="false" ht="15.75" hidden="true" customHeight="true" outlineLevel="0" collapsed="false">
      <c r="A1299" s="63" t="n">
        <v>2026</v>
      </c>
      <c r="B1299" s="79" t="s">
        <v>331</v>
      </c>
      <c r="C1299" s="79"/>
      <c r="D1299" s="63"/>
      <c r="E1299" s="63"/>
      <c r="F1299" s="63"/>
      <c r="G1299" s="63"/>
    </row>
    <row r="1300" customFormat="false" ht="15.75" hidden="true" customHeight="true" outlineLevel="0" collapsed="false">
      <c r="A1300" s="63" t="n">
        <v>2026</v>
      </c>
      <c r="B1300" s="79" t="s">
        <v>331</v>
      </c>
      <c r="C1300" s="79"/>
      <c r="D1300" s="63"/>
      <c r="E1300" s="63"/>
      <c r="F1300" s="63"/>
      <c r="G1300" s="63"/>
    </row>
    <row r="1301" customFormat="false" ht="15.75" hidden="true" customHeight="true" outlineLevel="0" collapsed="false">
      <c r="A1301" s="63" t="n">
        <v>2026</v>
      </c>
      <c r="B1301" s="79" t="s">
        <v>331</v>
      </c>
      <c r="C1301" s="79"/>
      <c r="D1301" s="63"/>
      <c r="E1301" s="63"/>
      <c r="F1301" s="63"/>
      <c r="G1301" s="63"/>
    </row>
    <row r="1302" customFormat="false" ht="15.75" hidden="true" customHeight="true" outlineLevel="0" collapsed="false">
      <c r="A1302" s="63" t="n">
        <v>2026</v>
      </c>
      <c r="B1302" s="79" t="s">
        <v>331</v>
      </c>
      <c r="C1302" s="79"/>
      <c r="D1302" s="63"/>
      <c r="E1302" s="63"/>
      <c r="F1302" s="63"/>
      <c r="G1302" s="63"/>
    </row>
    <row r="1303" customFormat="false" ht="15.75" hidden="true" customHeight="true" outlineLevel="0" collapsed="false">
      <c r="A1303" s="63" t="n">
        <v>2026</v>
      </c>
      <c r="B1303" s="79" t="s">
        <v>331</v>
      </c>
      <c r="C1303" s="79"/>
      <c r="D1303" s="63"/>
      <c r="E1303" s="63"/>
      <c r="F1303" s="63"/>
      <c r="G1303" s="63"/>
    </row>
    <row r="1304" customFormat="false" ht="15.75" hidden="true" customHeight="true" outlineLevel="0" collapsed="false">
      <c r="A1304" s="63" t="n">
        <v>2026</v>
      </c>
      <c r="B1304" s="79" t="s">
        <v>331</v>
      </c>
      <c r="C1304" s="79"/>
      <c r="D1304" s="63"/>
      <c r="E1304" s="63"/>
      <c r="F1304" s="63"/>
      <c r="G1304" s="63"/>
    </row>
    <row r="1305" customFormat="false" ht="15.75" hidden="true" customHeight="true" outlineLevel="0" collapsed="false">
      <c r="A1305" s="63" t="n">
        <v>2026</v>
      </c>
      <c r="B1305" s="79" t="s">
        <v>331</v>
      </c>
      <c r="C1305" s="79"/>
      <c r="D1305" s="63"/>
      <c r="E1305" s="63"/>
      <c r="F1305" s="63"/>
      <c r="G1305" s="63"/>
    </row>
    <row r="1306" customFormat="false" ht="15.75" hidden="true" customHeight="true" outlineLevel="0" collapsed="false">
      <c r="A1306" s="99" t="s">
        <v>442</v>
      </c>
      <c r="B1306" s="99"/>
      <c r="C1306" s="99"/>
      <c r="D1306" s="99"/>
      <c r="E1306" s="99"/>
      <c r="F1306" s="99"/>
      <c r="G1306" s="99"/>
    </row>
    <row r="1307" customFormat="false" ht="15.75" hidden="true" customHeight="true" outlineLevel="0" collapsed="false">
      <c r="A1307" s="63" t="n">
        <v>2026</v>
      </c>
      <c r="B1307" s="79" t="s">
        <v>332</v>
      </c>
      <c r="C1307" s="79"/>
      <c r="D1307" s="63"/>
      <c r="E1307" s="63"/>
      <c r="F1307" s="63"/>
      <c r="G1307" s="63"/>
    </row>
    <row r="1308" customFormat="false" ht="15.75" hidden="true" customHeight="true" outlineLevel="0" collapsed="false">
      <c r="A1308" s="63" t="n">
        <v>2026</v>
      </c>
      <c r="B1308" s="79" t="s">
        <v>332</v>
      </c>
      <c r="C1308" s="79"/>
      <c r="D1308" s="63"/>
      <c r="E1308" s="63"/>
      <c r="F1308" s="63"/>
      <c r="G1308" s="63"/>
    </row>
    <row r="1309" customFormat="false" ht="15.75" hidden="true" customHeight="true" outlineLevel="0" collapsed="false">
      <c r="A1309" s="63" t="n">
        <v>2026</v>
      </c>
      <c r="B1309" s="79" t="s">
        <v>332</v>
      </c>
      <c r="C1309" s="79"/>
      <c r="D1309" s="63"/>
      <c r="E1309" s="63"/>
      <c r="F1309" s="63"/>
      <c r="G1309" s="63"/>
    </row>
    <row r="1310" customFormat="false" ht="15.75" hidden="true" customHeight="true" outlineLevel="0" collapsed="false">
      <c r="A1310" s="63" t="n">
        <v>2026</v>
      </c>
      <c r="B1310" s="79" t="s">
        <v>332</v>
      </c>
      <c r="C1310" s="79"/>
      <c r="D1310" s="63"/>
      <c r="E1310" s="63"/>
      <c r="F1310" s="63"/>
      <c r="G1310" s="63"/>
    </row>
    <row r="1311" customFormat="false" ht="15.75" hidden="true" customHeight="true" outlineLevel="0" collapsed="false">
      <c r="A1311" s="63" t="n">
        <v>2026</v>
      </c>
      <c r="B1311" s="79" t="s">
        <v>332</v>
      </c>
      <c r="C1311" s="79"/>
      <c r="D1311" s="63"/>
      <c r="E1311" s="63"/>
      <c r="F1311" s="63"/>
      <c r="G1311" s="63"/>
    </row>
    <row r="1312" customFormat="false" ht="15.75" hidden="true" customHeight="true" outlineLevel="0" collapsed="false">
      <c r="A1312" s="63" t="n">
        <v>2026</v>
      </c>
      <c r="B1312" s="79" t="s">
        <v>332</v>
      </c>
      <c r="C1312" s="79"/>
      <c r="D1312" s="63"/>
      <c r="E1312" s="63"/>
      <c r="F1312" s="63"/>
      <c r="G1312" s="63"/>
    </row>
    <row r="1313" customFormat="false" ht="15.75" hidden="true" customHeight="true" outlineLevel="0" collapsed="false">
      <c r="A1313" s="63" t="n">
        <v>2026</v>
      </c>
      <c r="B1313" s="79" t="s">
        <v>332</v>
      </c>
      <c r="C1313" s="79"/>
      <c r="D1313" s="63"/>
      <c r="E1313" s="63"/>
      <c r="F1313" s="63"/>
      <c r="G1313" s="63"/>
    </row>
    <row r="1314" customFormat="false" ht="15.75" hidden="true" customHeight="true" outlineLevel="0" collapsed="false">
      <c r="A1314" s="63" t="n">
        <v>2026</v>
      </c>
      <c r="B1314" s="79" t="s">
        <v>332</v>
      </c>
      <c r="C1314" s="79"/>
      <c r="D1314" s="63"/>
      <c r="E1314" s="63"/>
      <c r="F1314" s="63"/>
      <c r="G1314" s="63"/>
    </row>
    <row r="1315" customFormat="false" ht="15.75" hidden="true" customHeight="true" outlineLevel="0" collapsed="false">
      <c r="A1315" s="63" t="n">
        <v>2026</v>
      </c>
      <c r="B1315" s="79" t="s">
        <v>332</v>
      </c>
      <c r="C1315" s="79"/>
      <c r="D1315" s="63"/>
      <c r="E1315" s="63"/>
      <c r="F1315" s="63"/>
      <c r="G1315" s="63"/>
    </row>
    <row r="1316" customFormat="false" ht="15.75" hidden="true" customHeight="true" outlineLevel="0" collapsed="false">
      <c r="A1316" s="63" t="n">
        <v>2026</v>
      </c>
      <c r="B1316" s="79" t="s">
        <v>332</v>
      </c>
      <c r="C1316" s="79"/>
      <c r="D1316" s="63"/>
      <c r="E1316" s="63"/>
      <c r="F1316" s="63"/>
      <c r="G1316" s="63"/>
    </row>
    <row r="1317" customFormat="false" ht="15.75" hidden="true" customHeight="true" outlineLevel="0" collapsed="false">
      <c r="A1317" s="63" t="n">
        <v>2026</v>
      </c>
      <c r="B1317" s="79" t="s">
        <v>332</v>
      </c>
      <c r="C1317" s="79"/>
      <c r="D1317" s="63"/>
      <c r="E1317" s="63"/>
      <c r="F1317" s="63"/>
      <c r="G1317" s="63"/>
    </row>
    <row r="1318" customFormat="false" ht="15.75" hidden="true" customHeight="true" outlineLevel="0" collapsed="false">
      <c r="A1318" s="63" t="n">
        <v>2026</v>
      </c>
      <c r="B1318" s="79" t="s">
        <v>332</v>
      </c>
      <c r="C1318" s="79"/>
      <c r="D1318" s="63"/>
      <c r="E1318" s="63"/>
      <c r="F1318" s="63"/>
      <c r="G1318" s="63"/>
    </row>
    <row r="1319" customFormat="false" ht="15.75" hidden="true" customHeight="true" outlineLevel="0" collapsed="false">
      <c r="A1319" s="63" t="n">
        <v>2026</v>
      </c>
      <c r="B1319" s="79" t="s">
        <v>332</v>
      </c>
      <c r="C1319" s="79"/>
      <c r="D1319" s="63"/>
      <c r="E1319" s="63"/>
      <c r="F1319" s="63"/>
      <c r="G1319" s="63"/>
    </row>
    <row r="1320" customFormat="false" ht="15.75" hidden="true" customHeight="true" outlineLevel="0" collapsed="false">
      <c r="A1320" s="63" t="n">
        <v>2026</v>
      </c>
      <c r="B1320" s="79" t="s">
        <v>332</v>
      </c>
      <c r="C1320" s="79"/>
      <c r="D1320" s="63"/>
      <c r="E1320" s="63"/>
      <c r="F1320" s="63"/>
      <c r="G1320" s="63"/>
    </row>
    <row r="1321" customFormat="false" ht="15.75" hidden="true" customHeight="true" outlineLevel="0" collapsed="false">
      <c r="A1321" s="63" t="n">
        <v>2026</v>
      </c>
      <c r="B1321" s="79" t="s">
        <v>332</v>
      </c>
      <c r="C1321" s="79"/>
      <c r="D1321" s="63"/>
      <c r="E1321" s="63"/>
      <c r="F1321" s="63"/>
      <c r="G1321" s="63"/>
    </row>
    <row r="1322" customFormat="false" ht="15.75" hidden="true" customHeight="true" outlineLevel="0" collapsed="false">
      <c r="A1322" s="63" t="n">
        <v>2026</v>
      </c>
      <c r="B1322" s="79" t="s">
        <v>332</v>
      </c>
      <c r="C1322" s="79"/>
      <c r="D1322" s="63"/>
      <c r="E1322" s="63"/>
      <c r="F1322" s="63"/>
      <c r="G1322" s="63"/>
    </row>
    <row r="1323" customFormat="false" ht="15.75" hidden="true" customHeight="true" outlineLevel="0" collapsed="false">
      <c r="A1323" s="63" t="n">
        <v>2026</v>
      </c>
      <c r="B1323" s="79" t="s">
        <v>332</v>
      </c>
      <c r="C1323" s="79"/>
      <c r="D1323" s="63"/>
      <c r="E1323" s="63"/>
      <c r="F1323" s="63"/>
      <c r="G1323" s="63"/>
    </row>
    <row r="1324" customFormat="false" ht="15.75" hidden="true" customHeight="true" outlineLevel="0" collapsed="false">
      <c r="A1324" s="63" t="n">
        <v>2026</v>
      </c>
      <c r="B1324" s="79" t="s">
        <v>332</v>
      </c>
      <c r="C1324" s="79"/>
      <c r="D1324" s="63"/>
      <c r="E1324" s="63"/>
      <c r="F1324" s="63"/>
      <c r="G1324" s="63"/>
    </row>
    <row r="1325" customFormat="false" ht="15.75" hidden="true" customHeight="true" outlineLevel="0" collapsed="false">
      <c r="A1325" s="63" t="n">
        <v>2026</v>
      </c>
      <c r="B1325" s="79" t="s">
        <v>332</v>
      </c>
      <c r="C1325" s="79"/>
      <c r="D1325" s="63"/>
      <c r="E1325" s="63"/>
      <c r="F1325" s="63"/>
      <c r="G1325" s="63"/>
    </row>
    <row r="1326" customFormat="false" ht="15.75" hidden="true" customHeight="true" outlineLevel="0" collapsed="false">
      <c r="A1326" s="63" t="n">
        <v>2026</v>
      </c>
      <c r="B1326" s="79" t="s">
        <v>332</v>
      </c>
      <c r="C1326" s="79"/>
      <c r="D1326" s="63"/>
      <c r="E1326" s="63"/>
      <c r="F1326" s="63"/>
      <c r="G1326" s="63"/>
    </row>
    <row r="1327" customFormat="false" ht="15.75" hidden="true" customHeight="true" outlineLevel="0" collapsed="false">
      <c r="A1327" s="99" t="s">
        <v>443</v>
      </c>
      <c r="B1327" s="99"/>
      <c r="C1327" s="99"/>
      <c r="D1327" s="99"/>
      <c r="E1327" s="99"/>
      <c r="F1327" s="99"/>
      <c r="G1327" s="99"/>
    </row>
    <row r="1328" customFormat="false" ht="15.75" hidden="true" customHeight="true" outlineLevel="0" collapsed="false">
      <c r="A1328" s="63" t="n">
        <v>2026</v>
      </c>
      <c r="B1328" s="79" t="s">
        <v>333</v>
      </c>
      <c r="C1328" s="79" t="s">
        <v>444</v>
      </c>
      <c r="D1328" s="63" t="n">
        <v>123</v>
      </c>
      <c r="E1328" s="63" t="n">
        <v>356</v>
      </c>
      <c r="F1328" s="63" t="n">
        <v>34.55</v>
      </c>
      <c r="G1328" s="63" t="n">
        <v>1.47</v>
      </c>
    </row>
    <row r="1329" customFormat="false" ht="15.75" hidden="true" customHeight="true" outlineLevel="0" collapsed="false">
      <c r="A1329" s="63" t="n">
        <v>2026</v>
      </c>
      <c r="B1329" s="79" t="s">
        <v>333</v>
      </c>
      <c r="C1329" s="79" t="s">
        <v>445</v>
      </c>
      <c r="D1329" s="63" t="n">
        <v>52</v>
      </c>
      <c r="E1329" s="63" t="n">
        <v>136</v>
      </c>
      <c r="F1329" s="63" t="n">
        <v>38.24</v>
      </c>
      <c r="G1329" s="63" t="n">
        <v>1.01</v>
      </c>
    </row>
    <row r="1330" customFormat="false" ht="15.75" hidden="true" customHeight="true" outlineLevel="0" collapsed="false">
      <c r="A1330" s="63" t="n">
        <v>2026</v>
      </c>
      <c r="B1330" s="79" t="s">
        <v>333</v>
      </c>
      <c r="C1330" s="79" t="s">
        <v>446</v>
      </c>
      <c r="D1330" s="63" t="n">
        <v>41</v>
      </c>
      <c r="E1330" s="63" t="n">
        <v>1211</v>
      </c>
      <c r="F1330" s="63" t="n">
        <v>3.39</v>
      </c>
      <c r="G1330" s="63" t="n">
        <v>2.39</v>
      </c>
    </row>
    <row r="1331" customFormat="false" ht="15.75" hidden="true" customHeight="true" outlineLevel="0" collapsed="false">
      <c r="A1331" s="63" t="n">
        <v>2026</v>
      </c>
      <c r="B1331" s="79" t="s">
        <v>333</v>
      </c>
      <c r="C1331" s="79" t="s">
        <v>447</v>
      </c>
      <c r="D1331" s="63" t="n">
        <v>7</v>
      </c>
      <c r="E1331" s="63" t="n">
        <v>30</v>
      </c>
      <c r="F1331" s="63" t="n">
        <v>23.33</v>
      </c>
      <c r="G1331" s="63" t="n">
        <v>1.1</v>
      </c>
    </row>
    <row r="1332" customFormat="false" ht="15.75" hidden="true" customHeight="true" outlineLevel="0" collapsed="false">
      <c r="A1332" s="63" t="n">
        <v>2026</v>
      </c>
      <c r="B1332" s="79" t="s">
        <v>333</v>
      </c>
      <c r="C1332" s="79" t="s">
        <v>448</v>
      </c>
      <c r="D1332" s="63" t="n">
        <v>6</v>
      </c>
      <c r="E1332" s="63" t="n">
        <v>20</v>
      </c>
      <c r="F1332" s="63" t="n">
        <v>30</v>
      </c>
      <c r="G1332" s="63" t="n">
        <v>1</v>
      </c>
    </row>
    <row r="1333" customFormat="false" ht="15.75" hidden="true" customHeight="true" outlineLevel="0" collapsed="false">
      <c r="A1333" s="63" t="n">
        <v>2026</v>
      </c>
      <c r="B1333" s="79" t="s">
        <v>333</v>
      </c>
      <c r="C1333" s="79" t="s">
        <v>449</v>
      </c>
      <c r="D1333" s="63" t="n">
        <v>6</v>
      </c>
      <c r="E1333" s="63" t="n">
        <v>15</v>
      </c>
      <c r="F1333" s="63" t="n">
        <v>40</v>
      </c>
      <c r="G1333" s="63" t="n">
        <v>10.73</v>
      </c>
    </row>
    <row r="1334" customFormat="false" ht="15.75" hidden="true" customHeight="true" outlineLevel="0" collapsed="false">
      <c r="A1334" s="63" t="n">
        <v>2026</v>
      </c>
      <c r="B1334" s="79" t="s">
        <v>333</v>
      </c>
      <c r="C1334" s="79" t="s">
        <v>450</v>
      </c>
      <c r="D1334" s="63" t="n">
        <v>4</v>
      </c>
      <c r="E1334" s="63" t="n">
        <v>17</v>
      </c>
      <c r="F1334" s="63" t="n">
        <v>23.53</v>
      </c>
      <c r="G1334" s="63" t="n">
        <v>3.65</v>
      </c>
    </row>
    <row r="1335" customFormat="false" ht="15.75" hidden="true" customHeight="true" outlineLevel="0" collapsed="false">
      <c r="A1335" s="63" t="n">
        <v>2026</v>
      </c>
      <c r="B1335" s="79" t="s">
        <v>333</v>
      </c>
      <c r="C1335" s="79" t="s">
        <v>451</v>
      </c>
      <c r="D1335" s="63" t="n">
        <v>4</v>
      </c>
      <c r="E1335" s="63" t="n">
        <v>14</v>
      </c>
      <c r="F1335" s="63" t="n">
        <v>28.57</v>
      </c>
      <c r="G1335" s="63" t="n">
        <v>2.71</v>
      </c>
    </row>
    <row r="1336" customFormat="false" ht="15.75" hidden="true" customHeight="true" outlineLevel="0" collapsed="false">
      <c r="A1336" s="63" t="n">
        <v>2026</v>
      </c>
      <c r="B1336" s="79" t="s">
        <v>333</v>
      </c>
      <c r="C1336" s="79" t="s">
        <v>452</v>
      </c>
      <c r="D1336" s="63" t="n">
        <v>3</v>
      </c>
      <c r="E1336" s="63" t="n">
        <v>40</v>
      </c>
      <c r="F1336" s="63" t="n">
        <v>7.5</v>
      </c>
      <c r="G1336" s="63" t="n">
        <v>2.02</v>
      </c>
    </row>
    <row r="1337" customFormat="false" ht="15.75" hidden="true" customHeight="true" outlineLevel="0" collapsed="false">
      <c r="A1337" s="63" t="n">
        <v>2026</v>
      </c>
      <c r="B1337" s="79" t="s">
        <v>333</v>
      </c>
      <c r="C1337" s="79" t="s">
        <v>453</v>
      </c>
      <c r="D1337" s="63" t="n">
        <v>2</v>
      </c>
      <c r="E1337" s="63" t="n">
        <v>10</v>
      </c>
      <c r="F1337" s="63" t="n">
        <v>20</v>
      </c>
      <c r="G1337" s="63" t="n">
        <v>2</v>
      </c>
    </row>
    <row r="1338" customFormat="false" ht="15.75" hidden="true" customHeight="true" outlineLevel="0" collapsed="false">
      <c r="A1338" s="63" t="n">
        <v>2026</v>
      </c>
      <c r="B1338" s="79" t="s">
        <v>333</v>
      </c>
      <c r="C1338" s="79" t="s">
        <v>454</v>
      </c>
      <c r="D1338" s="63" t="n">
        <v>1</v>
      </c>
      <c r="E1338" s="63" t="n">
        <v>35</v>
      </c>
      <c r="F1338" s="63" t="n">
        <v>2.86</v>
      </c>
      <c r="G1338" s="63" t="n">
        <v>11.23</v>
      </c>
    </row>
    <row r="1339" customFormat="false" ht="15.75" hidden="true" customHeight="true" outlineLevel="0" collapsed="false">
      <c r="A1339" s="63" t="n">
        <v>2026</v>
      </c>
      <c r="B1339" s="79" t="s">
        <v>333</v>
      </c>
      <c r="C1339" s="79" t="s">
        <v>455</v>
      </c>
      <c r="D1339" s="63" t="n">
        <v>1</v>
      </c>
      <c r="E1339" s="63" t="n">
        <v>11</v>
      </c>
      <c r="F1339" s="63" t="n">
        <v>9.09</v>
      </c>
      <c r="G1339" s="63" t="n">
        <v>7.55</v>
      </c>
    </row>
    <row r="1340" customFormat="false" ht="15.75" hidden="true" customHeight="true" outlineLevel="0" collapsed="false">
      <c r="A1340" s="63" t="n">
        <v>2026</v>
      </c>
      <c r="B1340" s="79" t="s">
        <v>333</v>
      </c>
      <c r="C1340" s="79" t="s">
        <v>456</v>
      </c>
      <c r="D1340" s="63" t="n">
        <v>1</v>
      </c>
      <c r="E1340" s="63" t="n">
        <v>7</v>
      </c>
      <c r="F1340" s="63" t="n">
        <v>14.29</v>
      </c>
      <c r="G1340" s="63" t="n">
        <v>8.57</v>
      </c>
    </row>
    <row r="1341" customFormat="false" ht="15.75" hidden="true" customHeight="true" outlineLevel="0" collapsed="false">
      <c r="A1341" s="63" t="n">
        <v>2026</v>
      </c>
      <c r="B1341" s="79" t="s">
        <v>333</v>
      </c>
      <c r="C1341" s="79" t="s">
        <v>457</v>
      </c>
      <c r="D1341" s="63" t="n">
        <v>1</v>
      </c>
      <c r="E1341" s="63" t="n">
        <v>4</v>
      </c>
      <c r="F1341" s="63" t="n">
        <v>25</v>
      </c>
      <c r="G1341" s="63" t="n">
        <v>9.5</v>
      </c>
    </row>
    <row r="1342" customFormat="false" ht="15.75" hidden="true" customHeight="true" outlineLevel="0" collapsed="false">
      <c r="A1342" s="63" t="n">
        <v>2026</v>
      </c>
      <c r="B1342" s="79" t="s">
        <v>333</v>
      </c>
      <c r="C1342" s="79" t="s">
        <v>458</v>
      </c>
      <c r="D1342" s="63" t="n">
        <v>0</v>
      </c>
      <c r="E1342" s="63" t="n">
        <v>1476</v>
      </c>
      <c r="F1342" s="63" t="n">
        <v>0</v>
      </c>
      <c r="G1342" s="63" t="n">
        <v>6.13</v>
      </c>
    </row>
    <row r="1343" customFormat="false" ht="15.75" hidden="true" customHeight="true" outlineLevel="0" collapsed="false">
      <c r="A1343" s="63" t="n">
        <v>2026</v>
      </c>
      <c r="B1343" s="79" t="s">
        <v>333</v>
      </c>
      <c r="C1343" s="79" t="s">
        <v>459</v>
      </c>
      <c r="D1343" s="63" t="n">
        <v>0</v>
      </c>
      <c r="E1343" s="63" t="n">
        <v>525</v>
      </c>
      <c r="F1343" s="63" t="n">
        <v>0</v>
      </c>
      <c r="G1343" s="63" t="n">
        <v>6.44</v>
      </c>
    </row>
    <row r="1344" customFormat="false" ht="15.75" hidden="true" customHeight="true" outlineLevel="0" collapsed="false">
      <c r="A1344" s="63" t="n">
        <v>2026</v>
      </c>
      <c r="B1344" s="79" t="s">
        <v>333</v>
      </c>
      <c r="C1344" s="79" t="s">
        <v>460</v>
      </c>
      <c r="D1344" s="63" t="n">
        <v>0</v>
      </c>
      <c r="E1344" s="63" t="n">
        <v>89</v>
      </c>
      <c r="F1344" s="63" t="n">
        <v>0</v>
      </c>
      <c r="G1344" s="63" t="n">
        <v>8.44</v>
      </c>
    </row>
    <row r="1345" customFormat="false" ht="15.75" hidden="true" customHeight="true" outlineLevel="0" collapsed="false">
      <c r="A1345" s="63" t="n">
        <v>2026</v>
      </c>
      <c r="B1345" s="79" t="s">
        <v>333</v>
      </c>
      <c r="C1345" s="79" t="s">
        <v>461</v>
      </c>
      <c r="D1345" s="63" t="n">
        <v>0</v>
      </c>
      <c r="E1345" s="63" t="n">
        <v>73</v>
      </c>
      <c r="F1345" s="63" t="n">
        <v>0</v>
      </c>
      <c r="G1345" s="63" t="n">
        <v>8.14</v>
      </c>
    </row>
    <row r="1346" customFormat="false" ht="15.75" hidden="true" customHeight="true" outlineLevel="0" collapsed="false">
      <c r="A1346" s="63" t="n">
        <v>2026</v>
      </c>
      <c r="B1346" s="79" t="s">
        <v>333</v>
      </c>
      <c r="C1346" s="79" t="s">
        <v>462</v>
      </c>
      <c r="D1346" s="63" t="n">
        <v>0</v>
      </c>
      <c r="E1346" s="63" t="n">
        <v>26</v>
      </c>
      <c r="F1346" s="63" t="n">
        <v>0</v>
      </c>
      <c r="G1346" s="63" t="n">
        <v>29.54</v>
      </c>
    </row>
    <row r="1347" customFormat="false" ht="15.75" hidden="true" customHeight="true" outlineLevel="0" collapsed="false">
      <c r="A1347" s="63" t="n">
        <v>2026</v>
      </c>
      <c r="B1347" s="79" t="s">
        <v>333</v>
      </c>
      <c r="C1347" s="79" t="s">
        <v>463</v>
      </c>
      <c r="D1347" s="63" t="n">
        <v>0</v>
      </c>
      <c r="E1347" s="63" t="n">
        <v>24</v>
      </c>
      <c r="F1347" s="63" t="n">
        <v>0</v>
      </c>
      <c r="G1347" s="63" t="n">
        <v>11.17</v>
      </c>
    </row>
    <row r="1348" customFormat="false" ht="15.75" hidden="true" customHeight="true" outlineLevel="0" collapsed="false">
      <c r="A1348" s="99" t="s">
        <v>464</v>
      </c>
      <c r="B1348" s="99"/>
      <c r="C1348" s="99"/>
      <c r="D1348" s="99"/>
      <c r="E1348" s="99"/>
      <c r="F1348" s="99"/>
      <c r="G1348" s="99"/>
    </row>
    <row r="1349" customFormat="false" ht="15.75" hidden="false" customHeight="true" outlineLevel="0" collapsed="false">
      <c r="A1349" s="63" t="n">
        <v>2026</v>
      </c>
      <c r="B1349" s="79" t="s">
        <v>65</v>
      </c>
      <c r="C1349" s="79" t="s">
        <v>444</v>
      </c>
      <c r="D1349" s="63" t="n">
        <v>147</v>
      </c>
      <c r="E1349" s="63" t="n">
        <v>885</v>
      </c>
      <c r="F1349" s="63" t="n">
        <v>0.1661</v>
      </c>
      <c r="G1349" s="63" t="n">
        <v>3.18</v>
      </c>
    </row>
    <row r="1350" customFormat="false" ht="15.75" hidden="false" customHeight="true" outlineLevel="0" collapsed="false">
      <c r="A1350" s="63" t="n">
        <v>2026</v>
      </c>
      <c r="B1350" s="79" t="s">
        <v>65</v>
      </c>
      <c r="C1350" s="79" t="s">
        <v>445</v>
      </c>
      <c r="D1350" s="63" t="n">
        <v>63</v>
      </c>
      <c r="E1350" s="63" t="n">
        <v>173</v>
      </c>
      <c r="F1350" s="63" t="n">
        <v>0.3642</v>
      </c>
      <c r="G1350" s="63" t="n">
        <v>1.05</v>
      </c>
    </row>
    <row r="1351" customFormat="false" ht="15.75" hidden="false" customHeight="true" outlineLevel="0" collapsed="false">
      <c r="A1351" s="63" t="n">
        <v>2026</v>
      </c>
      <c r="B1351" s="79" t="s">
        <v>65</v>
      </c>
      <c r="C1351" s="79" t="s">
        <v>446</v>
      </c>
      <c r="D1351" s="63" t="n">
        <v>32</v>
      </c>
      <c r="E1351" s="63" t="n">
        <v>1023</v>
      </c>
      <c r="F1351" s="63" t="n">
        <v>0.0313</v>
      </c>
      <c r="G1351" s="63" t="n">
        <v>3.52</v>
      </c>
    </row>
    <row r="1352" customFormat="false" ht="15.75" hidden="false" customHeight="true" outlineLevel="0" collapsed="false">
      <c r="A1352" s="63" t="n">
        <v>2026</v>
      </c>
      <c r="B1352" s="79" t="s">
        <v>65</v>
      </c>
      <c r="C1352" s="79" t="s">
        <v>447</v>
      </c>
      <c r="D1352" s="63" t="n">
        <v>7</v>
      </c>
      <c r="E1352" s="63" t="n">
        <v>25</v>
      </c>
      <c r="F1352" s="63" t="n">
        <v>0.28</v>
      </c>
      <c r="G1352" s="63" t="n">
        <v>1.52</v>
      </c>
    </row>
    <row r="1353" customFormat="false" ht="15.75" hidden="false" customHeight="true" outlineLevel="0" collapsed="false">
      <c r="A1353" s="63" t="n">
        <v>2026</v>
      </c>
      <c r="B1353" s="79" t="s">
        <v>65</v>
      </c>
      <c r="C1353" s="79" t="s">
        <v>465</v>
      </c>
      <c r="D1353" s="63" t="n">
        <v>6</v>
      </c>
      <c r="E1353" s="63" t="n">
        <v>19</v>
      </c>
      <c r="F1353" s="63" t="n">
        <v>0.3158</v>
      </c>
      <c r="G1353" s="63" t="n">
        <v>5.79</v>
      </c>
    </row>
    <row r="1354" customFormat="false" ht="15.75" hidden="false" customHeight="true" outlineLevel="0" collapsed="false">
      <c r="A1354" s="63" t="n">
        <v>2026</v>
      </c>
      <c r="B1354" s="79" t="s">
        <v>65</v>
      </c>
      <c r="C1354" s="79" t="s">
        <v>449</v>
      </c>
      <c r="D1354" s="63" t="n">
        <v>3</v>
      </c>
      <c r="E1354" s="63" t="n">
        <v>18</v>
      </c>
      <c r="F1354" s="63" t="n">
        <v>0.1667</v>
      </c>
      <c r="G1354" s="63" t="n">
        <v>8.89</v>
      </c>
    </row>
    <row r="1355" customFormat="false" ht="15.75" hidden="false" customHeight="true" outlineLevel="0" collapsed="false">
      <c r="A1355" s="63" t="n">
        <v>2026</v>
      </c>
      <c r="B1355" s="79" t="s">
        <v>65</v>
      </c>
      <c r="C1355" s="79" t="s">
        <v>451</v>
      </c>
      <c r="D1355" s="63" t="n">
        <v>3</v>
      </c>
      <c r="E1355" s="63" t="n">
        <v>12</v>
      </c>
      <c r="F1355" s="63" t="n">
        <v>0.25</v>
      </c>
      <c r="G1355" s="63" t="n">
        <v>2.92</v>
      </c>
    </row>
    <row r="1356" customFormat="false" ht="15.75" hidden="false" customHeight="true" outlineLevel="0" collapsed="false">
      <c r="A1356" s="63" t="n">
        <v>2026</v>
      </c>
      <c r="B1356" s="79" t="s">
        <v>65</v>
      </c>
      <c r="C1356" s="79" t="s">
        <v>448</v>
      </c>
      <c r="D1356" s="63" t="n">
        <v>3</v>
      </c>
      <c r="E1356" s="63" t="n">
        <v>3</v>
      </c>
      <c r="F1356" s="63" t="n">
        <v>1</v>
      </c>
      <c r="G1356" s="63" t="n">
        <v>1</v>
      </c>
    </row>
    <row r="1357" customFormat="false" ht="15.75" hidden="false" customHeight="true" outlineLevel="0" collapsed="false">
      <c r="A1357" s="63" t="n">
        <v>2026</v>
      </c>
      <c r="B1357" s="79" t="s">
        <v>65</v>
      </c>
      <c r="C1357" s="79" t="s">
        <v>452</v>
      </c>
      <c r="D1357" s="63" t="n">
        <v>2</v>
      </c>
      <c r="E1357" s="63" t="n">
        <v>40</v>
      </c>
      <c r="F1357" s="63" t="n">
        <v>0.05</v>
      </c>
      <c r="G1357" s="63" t="n">
        <v>2.27</v>
      </c>
    </row>
    <row r="1358" customFormat="false" ht="15.75" hidden="false" customHeight="true" outlineLevel="0" collapsed="false">
      <c r="A1358" s="63" t="n">
        <v>2026</v>
      </c>
      <c r="B1358" s="79" t="s">
        <v>65</v>
      </c>
      <c r="C1358" s="79" t="s">
        <v>466</v>
      </c>
      <c r="D1358" s="63" t="n">
        <v>2</v>
      </c>
      <c r="E1358" s="63" t="n">
        <v>14</v>
      </c>
      <c r="F1358" s="63" t="n">
        <v>0.1429</v>
      </c>
      <c r="G1358" s="63" t="n">
        <v>2.64</v>
      </c>
    </row>
    <row r="1359" customFormat="false" ht="15.75" hidden="false" customHeight="true" outlineLevel="0" collapsed="false">
      <c r="A1359" s="63" t="n">
        <v>2026</v>
      </c>
      <c r="B1359" s="79" t="s">
        <v>65</v>
      </c>
      <c r="C1359" s="79" t="s">
        <v>467</v>
      </c>
      <c r="D1359" s="63" t="n">
        <v>1</v>
      </c>
      <c r="E1359" s="63" t="n">
        <v>21</v>
      </c>
      <c r="F1359" s="63" t="n">
        <v>0.0476</v>
      </c>
      <c r="G1359" s="63" t="n">
        <v>6.05</v>
      </c>
    </row>
    <row r="1360" customFormat="false" ht="15.75" hidden="false" customHeight="true" outlineLevel="0" collapsed="false">
      <c r="A1360" s="63" t="n">
        <v>2026</v>
      </c>
      <c r="B1360" s="79" t="s">
        <v>65</v>
      </c>
      <c r="C1360" s="79" t="s">
        <v>450</v>
      </c>
      <c r="D1360" s="63" t="n">
        <v>1</v>
      </c>
      <c r="E1360" s="63" t="n">
        <v>14</v>
      </c>
      <c r="F1360" s="63" t="n">
        <v>0.0714</v>
      </c>
      <c r="G1360" s="63" t="n">
        <v>10.07</v>
      </c>
    </row>
    <row r="1361" customFormat="false" ht="15.75" hidden="false" customHeight="true" outlineLevel="0" collapsed="false">
      <c r="A1361" s="63" t="n">
        <v>2026</v>
      </c>
      <c r="B1361" s="79" t="s">
        <v>65</v>
      </c>
      <c r="C1361" s="79" t="s">
        <v>468</v>
      </c>
      <c r="D1361" s="63" t="n">
        <v>1</v>
      </c>
      <c r="E1361" s="63" t="n">
        <v>12</v>
      </c>
      <c r="F1361" s="63" t="n">
        <v>0.0833</v>
      </c>
      <c r="G1361" s="63" t="n">
        <v>3.17</v>
      </c>
    </row>
    <row r="1362" customFormat="false" ht="15.75" hidden="false" customHeight="true" outlineLevel="0" collapsed="false">
      <c r="A1362" s="63" t="n">
        <v>2026</v>
      </c>
      <c r="B1362" s="79" t="s">
        <v>65</v>
      </c>
      <c r="C1362" s="79" t="s">
        <v>469</v>
      </c>
      <c r="D1362" s="63" t="n">
        <v>1</v>
      </c>
      <c r="E1362" s="63" t="n">
        <v>12</v>
      </c>
      <c r="F1362" s="63" t="n">
        <v>0.0833</v>
      </c>
      <c r="G1362" s="63" t="n">
        <v>5.42</v>
      </c>
    </row>
    <row r="1363" customFormat="false" ht="15.75" hidden="false" customHeight="true" outlineLevel="0" collapsed="false">
      <c r="A1363" s="63" t="n">
        <v>2026</v>
      </c>
      <c r="B1363" s="79" t="s">
        <v>65</v>
      </c>
      <c r="C1363" s="79" t="s">
        <v>470</v>
      </c>
      <c r="D1363" s="63" t="n">
        <v>1</v>
      </c>
      <c r="E1363" s="63" t="n">
        <v>11</v>
      </c>
      <c r="F1363" s="63" t="n">
        <v>0.0909</v>
      </c>
      <c r="G1363" s="63" t="n">
        <v>2.18</v>
      </c>
    </row>
    <row r="1364" customFormat="false" ht="15.75" hidden="false" customHeight="true" outlineLevel="0" collapsed="false">
      <c r="A1364" s="63" t="n">
        <v>2026</v>
      </c>
      <c r="B1364" s="79" t="s">
        <v>65</v>
      </c>
      <c r="C1364" s="79" t="s">
        <v>453</v>
      </c>
      <c r="D1364" s="63" t="n">
        <v>1</v>
      </c>
      <c r="E1364" s="63" t="n">
        <v>8</v>
      </c>
      <c r="F1364" s="63" t="n">
        <v>0.125</v>
      </c>
      <c r="G1364" s="63" t="n">
        <v>2</v>
      </c>
    </row>
    <row r="1365" customFormat="false" ht="15.75" hidden="false" customHeight="true" outlineLevel="0" collapsed="false">
      <c r="A1365" s="63" t="n">
        <v>2026</v>
      </c>
      <c r="B1365" s="79" t="s">
        <v>65</v>
      </c>
      <c r="C1365" s="79" t="s">
        <v>471</v>
      </c>
      <c r="D1365" s="63" t="n">
        <v>1</v>
      </c>
      <c r="E1365" s="63" t="n">
        <v>8</v>
      </c>
      <c r="F1365" s="63" t="n">
        <v>0.125</v>
      </c>
      <c r="G1365" s="63" t="n">
        <v>2.25</v>
      </c>
    </row>
    <row r="1366" customFormat="false" ht="15.75" hidden="false" customHeight="true" outlineLevel="0" collapsed="false">
      <c r="A1366" s="63" t="n">
        <v>2026</v>
      </c>
      <c r="B1366" s="79" t="s">
        <v>65</v>
      </c>
      <c r="C1366" s="79" t="s">
        <v>456</v>
      </c>
      <c r="D1366" s="63" t="n">
        <v>1</v>
      </c>
      <c r="E1366" s="63" t="n">
        <v>6</v>
      </c>
      <c r="F1366" s="63" t="n">
        <v>0.1667</v>
      </c>
      <c r="G1366" s="63" t="n">
        <v>7.33</v>
      </c>
    </row>
    <row r="1367" customFormat="false" ht="15.75" hidden="false" customHeight="true" outlineLevel="0" collapsed="false">
      <c r="A1367" s="63" t="n">
        <v>2026</v>
      </c>
      <c r="B1367" s="79" t="s">
        <v>65</v>
      </c>
      <c r="C1367" s="79" t="s">
        <v>472</v>
      </c>
      <c r="D1367" s="63" t="n">
        <v>1</v>
      </c>
      <c r="E1367" s="63" t="n">
        <v>4</v>
      </c>
      <c r="F1367" s="63" t="n">
        <v>0.25</v>
      </c>
      <c r="G1367" s="63" t="n">
        <v>16</v>
      </c>
    </row>
    <row r="1368" customFormat="false" ht="15.75" hidden="false" customHeight="true" outlineLevel="0" collapsed="false">
      <c r="A1368" s="63" t="n">
        <v>2026</v>
      </c>
      <c r="B1368" s="79" t="s">
        <v>65</v>
      </c>
      <c r="C1368" s="79" t="s">
        <v>473</v>
      </c>
      <c r="D1368" s="63" t="n">
        <v>1</v>
      </c>
      <c r="E1368" s="63" t="n">
        <v>3</v>
      </c>
      <c r="F1368" s="63" t="n">
        <v>0.3333</v>
      </c>
      <c r="G1368" s="63" t="n">
        <v>1</v>
      </c>
    </row>
    <row r="1369" customFormat="false" ht="15.75" hidden="true" customHeight="true" outlineLevel="0" collapsed="false">
      <c r="A1369" s="99" t="s">
        <v>474</v>
      </c>
      <c r="B1369" s="99"/>
      <c r="C1369" s="99"/>
      <c r="D1369" s="99"/>
      <c r="E1369" s="99"/>
      <c r="F1369" s="99"/>
      <c r="G1369" s="99"/>
    </row>
    <row r="1370" customFormat="false" ht="15.75" hidden="true" customHeight="true" outlineLevel="0" collapsed="false">
      <c r="A1370" s="63" t="n">
        <v>2026</v>
      </c>
      <c r="B1370" s="79" t="s">
        <v>108</v>
      </c>
      <c r="C1370" s="79"/>
      <c r="D1370" s="63"/>
      <c r="E1370" s="63"/>
      <c r="F1370" s="63"/>
      <c r="G1370" s="63"/>
    </row>
    <row r="1371" customFormat="false" ht="15.75" hidden="true" customHeight="true" outlineLevel="0" collapsed="false">
      <c r="A1371" s="63" t="n">
        <v>2026</v>
      </c>
      <c r="B1371" s="79" t="s">
        <v>108</v>
      </c>
      <c r="C1371" s="79"/>
      <c r="D1371" s="63"/>
      <c r="E1371" s="63"/>
      <c r="F1371" s="63"/>
      <c r="G1371" s="63"/>
    </row>
    <row r="1372" customFormat="false" ht="15.75" hidden="true" customHeight="true" outlineLevel="0" collapsed="false">
      <c r="A1372" s="63" t="n">
        <v>2026</v>
      </c>
      <c r="B1372" s="79" t="s">
        <v>108</v>
      </c>
      <c r="C1372" s="79"/>
      <c r="D1372" s="63"/>
      <c r="E1372" s="63"/>
      <c r="F1372" s="63"/>
      <c r="G1372" s="63"/>
    </row>
    <row r="1373" customFormat="false" ht="15.75" hidden="true" customHeight="true" outlineLevel="0" collapsed="false">
      <c r="A1373" s="63" t="n">
        <v>2026</v>
      </c>
      <c r="B1373" s="79" t="s">
        <v>108</v>
      </c>
      <c r="C1373" s="79"/>
      <c r="D1373" s="63"/>
      <c r="E1373" s="63"/>
      <c r="F1373" s="63"/>
      <c r="G1373" s="63"/>
    </row>
    <row r="1374" customFormat="false" ht="15.75" hidden="true" customHeight="true" outlineLevel="0" collapsed="false">
      <c r="A1374" s="63" t="n">
        <v>2026</v>
      </c>
      <c r="B1374" s="79" t="s">
        <v>108</v>
      </c>
      <c r="C1374" s="79"/>
      <c r="D1374" s="63"/>
      <c r="E1374" s="63"/>
      <c r="F1374" s="63"/>
      <c r="G1374" s="63"/>
    </row>
    <row r="1375" customFormat="false" ht="15.75" hidden="true" customHeight="true" outlineLevel="0" collapsed="false">
      <c r="A1375" s="63" t="n">
        <v>2026</v>
      </c>
      <c r="B1375" s="79" t="s">
        <v>108</v>
      </c>
      <c r="C1375" s="79"/>
      <c r="D1375" s="63"/>
      <c r="E1375" s="63"/>
      <c r="F1375" s="63"/>
      <c r="G1375" s="63"/>
    </row>
    <row r="1376" customFormat="false" ht="15.75" hidden="true" customHeight="true" outlineLevel="0" collapsed="false">
      <c r="A1376" s="63" t="n">
        <v>2026</v>
      </c>
      <c r="B1376" s="79" t="s">
        <v>108</v>
      </c>
      <c r="C1376" s="79"/>
      <c r="D1376" s="63"/>
      <c r="E1376" s="63"/>
      <c r="F1376" s="63"/>
      <c r="G1376" s="63"/>
    </row>
    <row r="1377" customFormat="false" ht="15.75" hidden="true" customHeight="true" outlineLevel="0" collapsed="false">
      <c r="A1377" s="63" t="n">
        <v>2026</v>
      </c>
      <c r="B1377" s="79" t="s">
        <v>108</v>
      </c>
      <c r="C1377" s="79"/>
      <c r="D1377" s="63"/>
      <c r="E1377" s="63"/>
      <c r="F1377" s="63"/>
      <c r="G1377" s="63"/>
    </row>
    <row r="1378" customFormat="false" ht="15.75" hidden="true" customHeight="true" outlineLevel="0" collapsed="false">
      <c r="A1378" s="63" t="n">
        <v>2026</v>
      </c>
      <c r="B1378" s="79" t="s">
        <v>108</v>
      </c>
      <c r="C1378" s="79"/>
      <c r="D1378" s="63"/>
      <c r="E1378" s="63"/>
      <c r="F1378" s="63"/>
      <c r="G1378" s="63"/>
    </row>
    <row r="1379" customFormat="false" ht="15.75" hidden="true" customHeight="true" outlineLevel="0" collapsed="false">
      <c r="A1379" s="63" t="n">
        <v>2026</v>
      </c>
      <c r="B1379" s="79" t="s">
        <v>108</v>
      </c>
      <c r="C1379" s="79"/>
      <c r="D1379" s="63"/>
      <c r="E1379" s="63"/>
      <c r="F1379" s="63"/>
      <c r="G1379" s="63"/>
    </row>
    <row r="1380" customFormat="false" ht="15.75" hidden="true" customHeight="true" outlineLevel="0" collapsed="false">
      <c r="A1380" s="63" t="n">
        <v>2026</v>
      </c>
      <c r="B1380" s="79" t="s">
        <v>108</v>
      </c>
      <c r="C1380" s="79"/>
      <c r="D1380" s="63"/>
      <c r="E1380" s="63"/>
      <c r="F1380" s="63"/>
      <c r="G1380" s="63"/>
    </row>
    <row r="1381" customFormat="false" ht="15.75" hidden="true" customHeight="true" outlineLevel="0" collapsed="false">
      <c r="A1381" s="63" t="n">
        <v>2026</v>
      </c>
      <c r="B1381" s="79" t="s">
        <v>108</v>
      </c>
      <c r="C1381" s="79"/>
      <c r="D1381" s="63"/>
      <c r="E1381" s="63"/>
      <c r="F1381" s="63"/>
      <c r="G1381" s="63"/>
    </row>
    <row r="1382" customFormat="false" ht="15.75" hidden="true" customHeight="true" outlineLevel="0" collapsed="false">
      <c r="A1382" s="63" t="n">
        <v>2026</v>
      </c>
      <c r="B1382" s="79" t="s">
        <v>108</v>
      </c>
      <c r="C1382" s="79"/>
      <c r="D1382" s="63"/>
      <c r="E1382" s="63"/>
      <c r="F1382" s="63"/>
      <c r="G1382" s="63"/>
    </row>
    <row r="1383" customFormat="false" ht="15.75" hidden="true" customHeight="true" outlineLevel="0" collapsed="false">
      <c r="A1383" s="63" t="n">
        <v>2026</v>
      </c>
      <c r="B1383" s="79" t="s">
        <v>108</v>
      </c>
      <c r="C1383" s="79"/>
      <c r="D1383" s="63"/>
      <c r="E1383" s="63"/>
      <c r="F1383" s="63"/>
      <c r="G1383" s="63"/>
    </row>
    <row r="1384" customFormat="false" ht="15.75" hidden="true" customHeight="true" outlineLevel="0" collapsed="false">
      <c r="A1384" s="63" t="n">
        <v>2026</v>
      </c>
      <c r="B1384" s="79" t="s">
        <v>108</v>
      </c>
      <c r="C1384" s="79"/>
      <c r="D1384" s="63"/>
      <c r="E1384" s="63"/>
      <c r="F1384" s="63"/>
      <c r="G1384" s="63"/>
    </row>
    <row r="1385" customFormat="false" ht="15.75" hidden="true" customHeight="true" outlineLevel="0" collapsed="false">
      <c r="A1385" s="63" t="n">
        <v>2026</v>
      </c>
      <c r="B1385" s="79" t="s">
        <v>108</v>
      </c>
      <c r="C1385" s="79"/>
      <c r="D1385" s="63"/>
      <c r="E1385" s="63"/>
      <c r="F1385" s="63"/>
      <c r="G1385" s="63"/>
    </row>
    <row r="1386" customFormat="false" ht="15.75" hidden="true" customHeight="true" outlineLevel="0" collapsed="false">
      <c r="A1386" s="63" t="n">
        <v>2026</v>
      </c>
      <c r="B1386" s="79" t="s">
        <v>108</v>
      </c>
      <c r="C1386" s="79"/>
      <c r="D1386" s="63"/>
      <c r="E1386" s="63"/>
      <c r="F1386" s="63"/>
      <c r="G1386" s="63"/>
    </row>
    <row r="1387" customFormat="false" ht="15.75" hidden="true" customHeight="true" outlineLevel="0" collapsed="false">
      <c r="A1387" s="63" t="n">
        <v>2026</v>
      </c>
      <c r="B1387" s="79" t="s">
        <v>108</v>
      </c>
      <c r="C1387" s="79"/>
      <c r="D1387" s="63"/>
      <c r="E1387" s="63"/>
      <c r="F1387" s="63"/>
      <c r="G1387" s="63"/>
    </row>
    <row r="1388" customFormat="false" ht="15.75" hidden="true" customHeight="true" outlineLevel="0" collapsed="false">
      <c r="A1388" s="63" t="n">
        <v>2026</v>
      </c>
      <c r="B1388" s="79" t="s">
        <v>108</v>
      </c>
      <c r="C1388" s="79"/>
      <c r="D1388" s="63"/>
      <c r="E1388" s="63"/>
      <c r="F1388" s="63"/>
      <c r="G1388" s="63"/>
    </row>
    <row r="1389" customFormat="false" ht="15.75" hidden="true" customHeight="true" outlineLevel="0" collapsed="false">
      <c r="A1389" s="63" t="n">
        <v>2026</v>
      </c>
      <c r="B1389" s="79" t="s">
        <v>108</v>
      </c>
      <c r="C1389" s="79"/>
      <c r="D1389" s="63"/>
      <c r="E1389" s="63"/>
      <c r="F1389" s="63"/>
      <c r="G1389" s="63"/>
    </row>
    <row r="1390" customFormat="false" ht="18" hidden="true" customHeight="true" outlineLevel="0" collapsed="false">
      <c r="A1390" s="101" t="s">
        <v>475</v>
      </c>
      <c r="B1390" s="101"/>
      <c r="C1390" s="101"/>
      <c r="D1390" s="101"/>
      <c r="E1390" s="101"/>
      <c r="F1390" s="101"/>
      <c r="G1390" s="101"/>
    </row>
    <row r="1391" customFormat="false" ht="14.25" hidden="true" customHeight="false" outlineLevel="0" collapsed="false"/>
    <row r="1392" customFormat="false" ht="14.25" hidden="true" customHeight="false" outlineLevel="0" collapsed="false"/>
    <row r="1393" customFormat="false" ht="14.25" hidden="true" customHeight="false" outlineLevel="0" collapsed="false"/>
    <row r="1394" customFormat="false" ht="14.25" hidden="true" customHeight="false" outlineLevel="0" collapsed="false"/>
    <row r="1395" customFormat="false" ht="14.25" hidden="true" customHeight="false" outlineLevel="0" collapsed="false"/>
    <row r="1396" customFormat="false" ht="14.25" hidden="true" customHeight="false" outlineLevel="0" collapsed="false"/>
    <row r="1397" customFormat="false" ht="14.25" hidden="true" customHeight="false" outlineLevel="0" collapsed="false"/>
    <row r="1398" customFormat="false" ht="14.25" hidden="true" customHeight="false" outlineLevel="0" collapsed="false"/>
    <row r="1399" customFormat="false" ht="14.25" hidden="true" customHeight="false" outlineLevel="0" collapsed="false"/>
    <row r="1400" customFormat="false" ht="14.25" hidden="true" customHeight="false" outlineLevel="0" collapsed="false"/>
    <row r="1401" customFormat="false" ht="14.25" hidden="true" customHeight="false" outlineLevel="0" collapsed="false"/>
    <row r="1402" customFormat="false" ht="14.25" hidden="true" customHeight="false" outlineLevel="0" collapsed="false"/>
    <row r="1403" customFormat="false" ht="14.25" hidden="true" customHeight="false" outlineLevel="0" collapsed="false"/>
    <row r="1404" customFormat="false" ht="14.25" hidden="true" customHeight="false" outlineLevel="0" collapsed="false"/>
    <row r="1405" customFormat="false" ht="14.25" hidden="true" customHeight="false" outlineLevel="0" collapsed="false"/>
    <row r="1406" customFormat="false" ht="14.25" hidden="true" customHeight="false" outlineLevel="0" collapsed="false"/>
    <row r="1407" customFormat="false" ht="14.25" hidden="true" customHeight="false" outlineLevel="0" collapsed="false"/>
    <row r="1408" customFormat="false" ht="14.25" hidden="true" customHeight="false" outlineLevel="0" collapsed="false"/>
    <row r="1409" customFormat="false" ht="14.25" hidden="true" customHeight="false" outlineLevel="0" collapsed="false"/>
    <row r="1410" customFormat="false" ht="14.25" hidden="true" customHeight="false" outlineLevel="0" collapsed="false"/>
    <row r="1411" customFormat="false" ht="14.25" hidden="true" customHeight="false" outlineLevel="0" collapsed="false"/>
    <row r="1412" customFormat="false" ht="14.25" hidden="true" customHeight="false" outlineLevel="0" collapsed="false"/>
    <row r="1413" customFormat="false" ht="14.25" hidden="true" customHeight="false" outlineLevel="0" collapsed="false"/>
    <row r="1414" customFormat="false" ht="14.25" hidden="true" customHeight="false" outlineLevel="0" collapsed="false"/>
    <row r="1415" customFormat="false" ht="14.25" hidden="true" customHeight="false" outlineLevel="0" collapsed="false"/>
    <row r="1416" customFormat="false" ht="14.25" hidden="true" customHeight="false" outlineLevel="0" collapsed="false"/>
    <row r="1417" customFormat="false" ht="14.25" hidden="true" customHeight="false" outlineLevel="0" collapsed="false"/>
    <row r="1418" customFormat="false" ht="14.25" hidden="true" customHeight="false" outlineLevel="0" collapsed="false"/>
    <row r="1419" customFormat="false" ht="14.25" hidden="true" customHeight="false" outlineLevel="0" collapsed="false"/>
    <row r="1420" customFormat="false" ht="14.25" hidden="true" customHeight="false" outlineLevel="0" collapsed="false"/>
    <row r="1421" customFormat="false" ht="14.25" hidden="true" customHeight="false" outlineLevel="0" collapsed="false"/>
    <row r="1422" customFormat="false" ht="14.25" hidden="true" customHeight="false" outlineLevel="0" collapsed="false"/>
    <row r="1423" customFormat="false" ht="14.25" hidden="true" customHeight="false" outlineLevel="0" collapsed="false"/>
    <row r="1424" customFormat="false" ht="14.25" hidden="true" customHeight="false" outlineLevel="0" collapsed="false"/>
    <row r="1425" customFormat="false" ht="14.25" hidden="true" customHeight="false" outlineLevel="0" collapsed="false"/>
    <row r="1426" customFormat="false" ht="14.25" hidden="true" customHeight="false" outlineLevel="0" collapsed="false"/>
    <row r="1427" customFormat="false" ht="14.25" hidden="true" customHeight="false" outlineLevel="0" collapsed="false"/>
    <row r="1428" customFormat="false" ht="14.25" hidden="true" customHeight="false" outlineLevel="0" collapsed="false"/>
    <row r="1429" customFormat="false" ht="14.25" hidden="true" customHeight="false" outlineLevel="0" collapsed="false"/>
    <row r="1430" customFormat="false" ht="14.25" hidden="true" customHeight="false" outlineLevel="0" collapsed="false"/>
    <row r="1431" customFormat="false" ht="14.25" hidden="true" customHeight="false" outlineLevel="0" collapsed="false"/>
    <row r="1432" customFormat="false" ht="14.25" hidden="true" customHeight="false" outlineLevel="0" collapsed="false"/>
    <row r="1433" customFormat="false" ht="14.25" hidden="true" customHeight="false" outlineLevel="0" collapsed="false"/>
    <row r="1434" customFormat="false" ht="14.25" hidden="true" customHeight="false" outlineLevel="0" collapsed="false"/>
    <row r="1435" customFormat="false" ht="14.25" hidden="true" customHeight="false" outlineLevel="0" collapsed="false"/>
    <row r="1436" customFormat="false" ht="14.25" hidden="true" customHeight="false" outlineLevel="0" collapsed="false"/>
    <row r="1437" customFormat="false" ht="14.25" hidden="true" customHeight="false" outlineLevel="0" collapsed="false"/>
    <row r="1438" customFormat="false" ht="14.25" hidden="true" customHeight="false" outlineLevel="0" collapsed="false"/>
    <row r="1439" customFormat="false" ht="14.25" hidden="true" customHeight="false" outlineLevel="0" collapsed="false"/>
    <row r="1440" customFormat="false" ht="14.25" hidden="true" customHeight="false" outlineLevel="0" collapsed="false"/>
    <row r="1441" customFormat="false" ht="14.25" hidden="true" customHeight="false" outlineLevel="0" collapsed="false"/>
    <row r="1442" customFormat="false" ht="14.25" hidden="true" customHeight="false" outlineLevel="0" collapsed="false"/>
    <row r="1443" customFormat="false" ht="14.25" hidden="true" customHeight="false" outlineLevel="0" collapsed="false"/>
    <row r="1444" customFormat="false" ht="14.25" hidden="true" customHeight="false" outlineLevel="0" collapsed="false"/>
    <row r="1445" customFormat="false" ht="14.25" hidden="true" customHeight="false" outlineLevel="0" collapsed="false"/>
    <row r="1446" customFormat="false" ht="14.25" hidden="true" customHeight="false" outlineLevel="0" collapsed="false"/>
    <row r="1447" customFormat="false" ht="14.25" hidden="true" customHeight="false" outlineLevel="0" collapsed="false"/>
    <row r="1448" customFormat="false" ht="14.25" hidden="true" customHeight="false" outlineLevel="0" collapsed="false"/>
    <row r="1449" customFormat="false" ht="14.25" hidden="true" customHeight="false" outlineLevel="0" collapsed="false"/>
    <row r="1450" customFormat="false" ht="14.25" hidden="true" customHeight="false" outlineLevel="0" collapsed="false"/>
    <row r="1451" customFormat="false" ht="14.25" hidden="true" customHeight="false" outlineLevel="0" collapsed="false"/>
    <row r="1452" customFormat="false" ht="14.25" hidden="true" customHeight="false" outlineLevel="0" collapsed="false"/>
    <row r="1453" customFormat="false" ht="14.25" hidden="true" customHeight="false" outlineLevel="0" collapsed="false"/>
    <row r="1454" customFormat="false" ht="14.25" hidden="true" customHeight="false" outlineLevel="0" collapsed="false"/>
    <row r="1455" customFormat="false" ht="14.25" hidden="true" customHeight="false" outlineLevel="0" collapsed="false"/>
    <row r="1456" customFormat="false" ht="14.25" hidden="true" customHeight="false" outlineLevel="0" collapsed="false"/>
    <row r="1457" customFormat="false" ht="14.25" hidden="true" customHeight="false" outlineLevel="0" collapsed="false"/>
    <row r="1458" customFormat="false" ht="14.25" hidden="true" customHeight="false" outlineLevel="0" collapsed="false"/>
    <row r="1459" customFormat="false" ht="14.25" hidden="true" customHeight="false" outlineLevel="0" collapsed="false"/>
    <row r="1460" customFormat="false" ht="14.25" hidden="true" customHeight="false" outlineLevel="0" collapsed="false"/>
    <row r="1461" customFormat="false" ht="14.25" hidden="true" customHeight="false" outlineLevel="0" collapsed="false"/>
    <row r="1462" customFormat="false" ht="14.25" hidden="true" customHeight="false" outlineLevel="0" collapsed="false"/>
    <row r="1463" customFormat="false" ht="14.25" hidden="true" customHeight="false" outlineLevel="0" collapsed="false"/>
    <row r="1464" customFormat="false" ht="14.25" hidden="true" customHeight="false" outlineLevel="0" collapsed="false"/>
    <row r="1465" customFormat="false" ht="14.25" hidden="true" customHeight="false" outlineLevel="0" collapsed="false"/>
    <row r="1466" customFormat="false" ht="14.25" hidden="true" customHeight="false" outlineLevel="0" collapsed="false"/>
    <row r="1467" customFormat="false" ht="14.25" hidden="true" customHeight="false" outlineLevel="0" collapsed="false"/>
    <row r="1468" customFormat="false" ht="14.25" hidden="true" customHeight="false" outlineLevel="0" collapsed="false"/>
    <row r="1469" customFormat="false" ht="14.25" hidden="true" customHeight="false" outlineLevel="0" collapsed="false"/>
    <row r="1470" customFormat="false" ht="14.25" hidden="true" customHeight="false" outlineLevel="0" collapsed="false"/>
    <row r="1471" customFormat="false" ht="14.25" hidden="true" customHeight="false" outlineLevel="0" collapsed="false"/>
    <row r="1472" customFormat="false" ht="14.25" hidden="true" customHeight="false" outlineLevel="0" collapsed="false"/>
    <row r="1473" customFormat="false" ht="14.25" hidden="true" customHeight="false" outlineLevel="0" collapsed="false"/>
    <row r="1474" customFormat="false" ht="14.25" hidden="true" customHeight="false" outlineLevel="0" collapsed="false"/>
    <row r="1475" customFormat="false" ht="14.25" hidden="true" customHeight="false" outlineLevel="0" collapsed="false"/>
    <row r="1476" customFormat="false" ht="14.25" hidden="true" customHeight="false" outlineLevel="0" collapsed="false"/>
    <row r="1477" customFormat="false" ht="14.25" hidden="true" customHeight="false" outlineLevel="0" collapsed="false"/>
    <row r="1478" customFormat="false" ht="14.25" hidden="true" customHeight="false" outlineLevel="0" collapsed="false"/>
    <row r="1479" customFormat="false" ht="14.25" hidden="true" customHeight="false" outlineLevel="0" collapsed="false"/>
    <row r="1480" customFormat="false" ht="14.25" hidden="true" customHeight="false" outlineLevel="0" collapsed="false"/>
    <row r="1481" customFormat="false" ht="14.25" hidden="true" customHeight="false" outlineLevel="0" collapsed="false"/>
    <row r="1482" customFormat="false" ht="14.25" hidden="true" customHeight="false" outlineLevel="0" collapsed="false"/>
    <row r="1483" customFormat="false" ht="14.25" hidden="true" customHeight="false" outlineLevel="0" collapsed="false"/>
    <row r="1484" customFormat="false" ht="14.25" hidden="true" customHeight="false" outlineLevel="0" collapsed="false"/>
    <row r="1485" customFormat="false" ht="14.25" hidden="true" customHeight="false" outlineLevel="0" collapsed="false"/>
    <row r="1486" customFormat="false" ht="14.25" hidden="true" customHeight="false" outlineLevel="0" collapsed="false"/>
    <row r="1487" customFormat="false" ht="14.25" hidden="true" customHeight="false" outlineLevel="0" collapsed="false"/>
    <row r="1488" customFormat="false" ht="14.25" hidden="true" customHeight="false" outlineLevel="0" collapsed="false"/>
    <row r="1489" customFormat="false" ht="14.25" hidden="true" customHeight="false" outlineLevel="0" collapsed="false"/>
    <row r="1490" customFormat="false" ht="14.25" hidden="true" customHeight="false" outlineLevel="0" collapsed="false"/>
    <row r="1491" customFormat="false" ht="14.25" hidden="true" customHeight="false" outlineLevel="0" collapsed="false"/>
    <row r="1492" customFormat="false" ht="14.25" hidden="true" customHeight="false" outlineLevel="0" collapsed="false"/>
    <row r="1493" customFormat="false" ht="14.25" hidden="true" customHeight="false" outlineLevel="0" collapsed="false"/>
    <row r="1494" customFormat="false" ht="14.25" hidden="true" customHeight="false" outlineLevel="0" collapsed="false"/>
    <row r="1495" customFormat="false" ht="14.25" hidden="true" customHeight="false" outlineLevel="0" collapsed="false"/>
    <row r="1496" customFormat="false" ht="14.25" hidden="true" customHeight="false" outlineLevel="0" collapsed="false"/>
    <row r="1497" customFormat="false" ht="14.25" hidden="true" customHeight="false" outlineLevel="0" collapsed="false"/>
    <row r="1498" customFormat="false" ht="14.25" hidden="true" customHeight="false" outlineLevel="0" collapsed="false"/>
    <row r="1499" customFormat="false" ht="14.25" hidden="true" customHeight="false" outlineLevel="0" collapsed="false"/>
    <row r="1500" customFormat="false" ht="14.25" hidden="true" customHeight="false" outlineLevel="0" collapsed="false"/>
    <row r="1501" customFormat="false" ht="14.25" hidden="true" customHeight="false" outlineLevel="0" collapsed="false"/>
    <row r="1502" customFormat="false" ht="14.25" hidden="true" customHeight="false" outlineLevel="0" collapsed="false"/>
    <row r="1503" customFormat="false" ht="14.25" hidden="true" customHeight="false" outlineLevel="0" collapsed="false"/>
    <row r="1504" customFormat="false" ht="14.25" hidden="true" customHeight="false" outlineLevel="0" collapsed="false"/>
    <row r="1505" customFormat="false" ht="14.25" hidden="true" customHeight="false" outlineLevel="0" collapsed="false"/>
    <row r="1506" customFormat="false" ht="14.25" hidden="true" customHeight="false" outlineLevel="0" collapsed="false"/>
    <row r="1507" customFormat="false" ht="14.25" hidden="true" customHeight="false" outlineLevel="0" collapsed="false"/>
    <row r="1508" customFormat="false" ht="14.25" hidden="true" customHeight="false" outlineLevel="0" collapsed="false"/>
    <row r="1509" customFormat="false" ht="14.25" hidden="true" customHeight="false" outlineLevel="0" collapsed="false"/>
    <row r="1510" customFormat="false" ht="14.25" hidden="true" customHeight="false" outlineLevel="0" collapsed="false"/>
    <row r="1511" customFormat="false" ht="14.25" hidden="true" customHeight="false" outlineLevel="0" collapsed="false"/>
    <row r="1512" customFormat="false" ht="14.25" hidden="true" customHeight="false" outlineLevel="0" collapsed="false"/>
    <row r="1513" customFormat="false" ht="14.25" hidden="true" customHeight="false" outlineLevel="0" collapsed="false"/>
    <row r="1514" customFormat="false" ht="14.25" hidden="true" customHeight="false" outlineLevel="0" collapsed="false"/>
    <row r="1515" customFormat="false" ht="14.25" hidden="true" customHeight="false" outlineLevel="0" collapsed="false"/>
    <row r="1516" customFormat="false" ht="14.25" hidden="true" customHeight="false" outlineLevel="0" collapsed="false"/>
    <row r="1517" customFormat="false" ht="14.25" hidden="true" customHeight="false" outlineLevel="0" collapsed="false"/>
    <row r="1518" customFormat="false" ht="14.25" hidden="true" customHeight="false" outlineLevel="0" collapsed="false"/>
    <row r="1519" customFormat="false" ht="14.25" hidden="true" customHeight="false" outlineLevel="0" collapsed="false"/>
    <row r="1520" customFormat="false" ht="14.25" hidden="true" customHeight="false" outlineLevel="0" collapsed="false"/>
    <row r="1521" customFormat="false" ht="14.25" hidden="true" customHeight="false" outlineLevel="0" collapsed="false"/>
    <row r="1522" customFormat="false" ht="14.25" hidden="true" customHeight="false" outlineLevel="0" collapsed="false"/>
    <row r="1523" customFormat="false" ht="14.25" hidden="true" customHeight="false" outlineLevel="0" collapsed="false"/>
    <row r="1524" customFormat="false" ht="14.25" hidden="true" customHeight="false" outlineLevel="0" collapsed="false"/>
    <row r="1525" customFormat="false" ht="14.25" hidden="true" customHeight="false" outlineLevel="0" collapsed="false"/>
    <row r="1526" customFormat="false" ht="14.25" hidden="true" customHeight="false" outlineLevel="0" collapsed="false"/>
    <row r="1527" customFormat="false" ht="14.25" hidden="true" customHeight="false" outlineLevel="0" collapsed="false"/>
    <row r="1528" customFormat="false" ht="14.25" hidden="true" customHeight="false" outlineLevel="0" collapsed="false"/>
    <row r="1529" customFormat="false" ht="14.25" hidden="true" customHeight="false" outlineLevel="0" collapsed="false"/>
    <row r="1530" customFormat="false" ht="14.25" hidden="true" customHeight="false" outlineLevel="0" collapsed="false"/>
    <row r="1531" customFormat="false" ht="14.25" hidden="true" customHeight="false" outlineLevel="0" collapsed="false"/>
    <row r="1532" customFormat="false" ht="14.25" hidden="true" customHeight="false" outlineLevel="0" collapsed="false"/>
    <row r="1533" customFormat="false" ht="14.25" hidden="true" customHeight="false" outlineLevel="0" collapsed="false"/>
    <row r="1534" customFormat="false" ht="14.25" hidden="true" customHeight="false" outlineLevel="0" collapsed="false"/>
    <row r="1535" customFormat="false" ht="14.25" hidden="true" customHeight="false" outlineLevel="0" collapsed="false"/>
    <row r="1536" customFormat="false" ht="14.25" hidden="true" customHeight="false" outlineLevel="0" collapsed="false"/>
    <row r="1537" customFormat="false" ht="14.25" hidden="true" customHeight="false" outlineLevel="0" collapsed="false"/>
    <row r="1538" customFormat="false" ht="14.25" hidden="true" customHeight="false" outlineLevel="0" collapsed="false"/>
    <row r="1539" customFormat="false" ht="14.25" hidden="true" customHeight="false" outlineLevel="0" collapsed="false"/>
    <row r="1540" customFormat="false" ht="14.25" hidden="true" customHeight="false" outlineLevel="0" collapsed="false"/>
    <row r="1541" customFormat="false" ht="14.25" hidden="true" customHeight="false" outlineLevel="0" collapsed="false"/>
    <row r="1542" customFormat="false" ht="14.25" hidden="true" customHeight="false" outlineLevel="0" collapsed="false"/>
    <row r="1543" customFormat="false" ht="14.25" hidden="true" customHeight="false" outlineLevel="0" collapsed="false"/>
    <row r="1544" customFormat="false" ht="14.25" hidden="true" customHeight="false" outlineLevel="0" collapsed="false"/>
    <row r="1545" customFormat="false" ht="14.25" hidden="true" customHeight="false" outlineLevel="0" collapsed="false"/>
    <row r="1546" customFormat="false" ht="14.25" hidden="true" customHeight="false" outlineLevel="0" collapsed="false"/>
    <row r="1547" customFormat="false" ht="14.25" hidden="true" customHeight="false" outlineLevel="0" collapsed="false"/>
    <row r="1548" customFormat="false" ht="14.25" hidden="true" customHeight="false" outlineLevel="0" collapsed="false"/>
    <row r="1549" customFormat="false" ht="14.25" hidden="true" customHeight="false" outlineLevel="0" collapsed="false"/>
    <row r="1550" customFormat="false" ht="14.25" hidden="true" customHeight="false" outlineLevel="0" collapsed="false"/>
    <row r="1551" customFormat="false" ht="14.25" hidden="true" customHeight="false" outlineLevel="0" collapsed="false"/>
    <row r="1552" customFormat="false" ht="14.25" hidden="true" customHeight="false" outlineLevel="0" collapsed="false"/>
    <row r="1553" customFormat="false" ht="14.25" hidden="true" customHeight="false" outlineLevel="0" collapsed="false"/>
    <row r="1554" customFormat="false" ht="14.25" hidden="true" customHeight="false" outlineLevel="0" collapsed="false"/>
    <row r="1555" customFormat="false" ht="14.25" hidden="true" customHeight="false" outlineLevel="0" collapsed="false"/>
    <row r="1556" customFormat="false" ht="14.25" hidden="true" customHeight="false" outlineLevel="0" collapsed="false"/>
    <row r="1557" customFormat="false" ht="14.25" hidden="true" customHeight="false" outlineLevel="0" collapsed="false"/>
    <row r="1558" customFormat="false" ht="14.25" hidden="true" customHeight="false" outlineLevel="0" collapsed="false"/>
    <row r="1559" customFormat="false" ht="14.25" hidden="true" customHeight="false" outlineLevel="0" collapsed="false"/>
    <row r="1560" customFormat="false" ht="14.25" hidden="true" customHeight="false" outlineLevel="0" collapsed="false"/>
    <row r="1561" customFormat="false" ht="14.25" hidden="true" customHeight="false" outlineLevel="0" collapsed="false"/>
    <row r="1562" customFormat="false" ht="14.25" hidden="true" customHeight="false" outlineLevel="0" collapsed="false"/>
    <row r="1563" customFormat="false" ht="14.25" hidden="true" customHeight="false" outlineLevel="0" collapsed="false"/>
    <row r="1564" customFormat="false" ht="14.25" hidden="true" customHeight="false" outlineLevel="0" collapsed="false"/>
    <row r="1565" customFormat="false" ht="14.25" hidden="true" customHeight="false" outlineLevel="0" collapsed="false"/>
    <row r="1566" customFormat="false" ht="14.25" hidden="true" customHeight="false" outlineLevel="0" collapsed="false"/>
    <row r="1567" customFormat="false" ht="14.25" hidden="true" customHeight="false" outlineLevel="0" collapsed="false"/>
    <row r="1568" customFormat="false" ht="14.25" hidden="true" customHeight="false" outlineLevel="0" collapsed="false"/>
    <row r="1569" customFormat="false" ht="14.25" hidden="true" customHeight="false" outlineLevel="0" collapsed="false"/>
    <row r="1570" customFormat="false" ht="14.25" hidden="true" customHeight="false" outlineLevel="0" collapsed="false"/>
    <row r="1571" customFormat="false" ht="14.25" hidden="true" customHeight="false" outlineLevel="0" collapsed="false"/>
    <row r="1572" customFormat="false" ht="14.25" hidden="true" customHeight="false" outlineLevel="0" collapsed="false"/>
    <row r="1573" customFormat="false" ht="14.25" hidden="true" customHeight="false" outlineLevel="0" collapsed="false"/>
    <row r="1574" customFormat="false" ht="14.25" hidden="true" customHeight="false" outlineLevel="0" collapsed="false"/>
    <row r="1575" customFormat="false" ht="14.25" hidden="true" customHeight="false" outlineLevel="0" collapsed="false"/>
    <row r="1576" customFormat="false" ht="14.25" hidden="true" customHeight="false" outlineLevel="0" collapsed="false"/>
    <row r="1577" customFormat="false" ht="14.25" hidden="true" customHeight="false" outlineLevel="0" collapsed="false"/>
    <row r="1578" customFormat="false" ht="14.25" hidden="true" customHeight="false" outlineLevel="0" collapsed="false"/>
    <row r="1579" customFormat="false" ht="14.25" hidden="true" customHeight="false" outlineLevel="0" collapsed="false"/>
    <row r="1580" customFormat="false" ht="14.25" hidden="true" customHeight="false" outlineLevel="0" collapsed="false"/>
    <row r="1581" customFormat="false" ht="14.25" hidden="true" customHeight="false" outlineLevel="0" collapsed="false"/>
    <row r="1582" customFormat="false" ht="14.25" hidden="true" customHeight="false" outlineLevel="0" collapsed="false"/>
    <row r="1583" customFormat="false" ht="14.25" hidden="true" customHeight="false" outlineLevel="0" collapsed="false"/>
    <row r="1584" customFormat="false" ht="14.25" hidden="true" customHeight="false" outlineLevel="0" collapsed="false"/>
    <row r="1585" customFormat="false" ht="14.25" hidden="true" customHeight="false" outlineLevel="0" collapsed="false"/>
    <row r="1586" customFormat="false" ht="14.25" hidden="true" customHeight="false" outlineLevel="0" collapsed="false"/>
    <row r="1587" customFormat="false" ht="14.25" hidden="true" customHeight="false" outlineLevel="0" collapsed="false"/>
    <row r="1588" customFormat="false" ht="14.25" hidden="true" customHeight="false" outlineLevel="0" collapsed="false"/>
    <row r="1589" customFormat="false" ht="14.25" hidden="true" customHeight="false" outlineLevel="0" collapsed="false"/>
    <row r="1590" customFormat="false" ht="14.25" hidden="true" customHeight="false" outlineLevel="0" collapsed="false"/>
    <row r="1591" customFormat="false" ht="14.25" hidden="true" customHeight="false" outlineLevel="0" collapsed="false"/>
  </sheetData>
  <autoFilter ref="A3:G1591">
    <filterColumn colId="0">
      <filters>
        <filter val="2026"/>
      </filters>
    </filterColumn>
    <filterColumn colId="1">
      <filters>
        <filter val="Mayo"/>
      </filters>
    </filterColumn>
  </autoFilter>
  <mergeCells count="69">
    <mergeCell ref="A1:G1"/>
    <mergeCell ref="A2:G2"/>
    <mergeCell ref="A4:G4"/>
    <mergeCell ref="A25:G25"/>
    <mergeCell ref="A46:G46"/>
    <mergeCell ref="A67:G67"/>
    <mergeCell ref="A88:G88"/>
    <mergeCell ref="A109:G109"/>
    <mergeCell ref="A130:G130"/>
    <mergeCell ref="A151:G151"/>
    <mergeCell ref="A172:G172"/>
    <mergeCell ref="A193:G193"/>
    <mergeCell ref="A214:G214"/>
    <mergeCell ref="A235:G235"/>
    <mergeCell ref="A256:G256"/>
    <mergeCell ref="A277:G277"/>
    <mergeCell ref="A298:G298"/>
    <mergeCell ref="A319:G319"/>
    <mergeCell ref="A340:G340"/>
    <mergeCell ref="A361:G361"/>
    <mergeCell ref="A382:G382"/>
    <mergeCell ref="A403:G403"/>
    <mergeCell ref="A424:G424"/>
    <mergeCell ref="A445:G445"/>
    <mergeCell ref="A466:G466"/>
    <mergeCell ref="A487:G487"/>
    <mergeCell ref="A508:G508"/>
    <mergeCell ref="A529:G529"/>
    <mergeCell ref="A550:G550"/>
    <mergeCell ref="A571:G571"/>
    <mergeCell ref="A592:G592"/>
    <mergeCell ref="A613:G613"/>
    <mergeCell ref="A634:G634"/>
    <mergeCell ref="A655:G655"/>
    <mergeCell ref="A676:G676"/>
    <mergeCell ref="A697:G697"/>
    <mergeCell ref="A718:G718"/>
    <mergeCell ref="A739:G739"/>
    <mergeCell ref="A760:G760"/>
    <mergeCell ref="A781:G781"/>
    <mergeCell ref="A802:G802"/>
    <mergeCell ref="A823:G823"/>
    <mergeCell ref="A844:G844"/>
    <mergeCell ref="A865:G865"/>
    <mergeCell ref="A886:G886"/>
    <mergeCell ref="A907:G907"/>
    <mergeCell ref="A928:G928"/>
    <mergeCell ref="A949:G949"/>
    <mergeCell ref="A970:G970"/>
    <mergeCell ref="A991:G991"/>
    <mergeCell ref="A1012:G1012"/>
    <mergeCell ref="A1033:G1033"/>
    <mergeCell ref="A1054:G1054"/>
    <mergeCell ref="A1075:G1075"/>
    <mergeCell ref="A1096:G1096"/>
    <mergeCell ref="A1117:G1117"/>
    <mergeCell ref="A1138:G1138"/>
    <mergeCell ref="A1159:G1159"/>
    <mergeCell ref="A1180:G1180"/>
    <mergeCell ref="A1201:G1201"/>
    <mergeCell ref="A1222:G1222"/>
    <mergeCell ref="A1243:G1243"/>
    <mergeCell ref="A1264:G1264"/>
    <mergeCell ref="A1285:G1285"/>
    <mergeCell ref="A1306:G1306"/>
    <mergeCell ref="A1327:G1327"/>
    <mergeCell ref="A1348:G1348"/>
    <mergeCell ref="A1369:G1369"/>
    <mergeCell ref="A1390:G1390"/>
  </mergeCells>
  <dataValidations count="2">
    <dataValidation allowBlank="true" errorStyle="stop" operator="between" showDropDown="false" showErrorMessage="false" showInputMessage="false" sqref="B4:B1591" type="list">
      <formula1>"Enero,Febrero,Marzo,Abril,Mayo,Junio,Julio,Agosto,Setiembre,Octubre,Noviembre,Diciembre"</formula1>
      <formula2>0</formula2>
    </dataValidation>
    <dataValidation allowBlank="true" errorStyle="stop" operator="between" showDropDown="false" showErrorMessage="false" showInputMessage="false" sqref="A4:A1591" type="list">
      <formula1>"2021,2022,2023,2024,2025,2026,2027"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3"/>
    <col collapsed="false" customWidth="true" hidden="false" outlineLevel="0" max="12" min="12" style="0" width="15"/>
    <col collapsed="false" customWidth="true" hidden="false" outlineLevel="0" max="13" min="13" style="0" width="14"/>
    <col collapsed="false" customWidth="true" hidden="false" outlineLevel="0" max="14" min="14" style="0" width="16"/>
  </cols>
  <sheetData>
    <row r="1" customFormat="false" ht="27.75" hidden="false" customHeight="true" outlineLevel="0" collapsed="false">
      <c r="A1" s="102" t="s">
        <v>476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customFormat="false" ht="15" hidden="false" customHeight="true" outlineLevel="0" collapsed="false">
      <c r="A2" s="103" t="s">
        <v>477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</row>
    <row r="3" customFormat="false" ht="27.75" hidden="false" customHeight="true" outlineLevel="0" collapsed="false">
      <c r="A3" s="100" t="s">
        <v>478</v>
      </c>
      <c r="B3" s="100" t="s">
        <v>319</v>
      </c>
      <c r="C3" s="100" t="s">
        <v>53</v>
      </c>
      <c r="D3" s="100" t="s">
        <v>479</v>
      </c>
      <c r="E3" s="100" t="s">
        <v>480</v>
      </c>
      <c r="F3" s="100" t="s">
        <v>321</v>
      </c>
      <c r="G3" s="100" t="s">
        <v>322</v>
      </c>
      <c r="H3" s="100" t="s">
        <v>323</v>
      </c>
      <c r="I3" s="100" t="s">
        <v>481</v>
      </c>
      <c r="J3" s="100" t="s">
        <v>482</v>
      </c>
      <c r="K3" s="100" t="s">
        <v>483</v>
      </c>
      <c r="L3" s="100" t="s">
        <v>484</v>
      </c>
      <c r="M3" s="100" t="s">
        <v>485</v>
      </c>
      <c r="N3" s="100" t="s">
        <v>486</v>
      </c>
    </row>
    <row r="4" customFormat="false" ht="15" hidden="false" customHeight="true" outlineLevel="0" collapsed="false">
      <c r="A4" s="104" t="s">
        <v>487</v>
      </c>
      <c r="B4" s="60" t="n">
        <v>2021</v>
      </c>
      <c r="C4" s="61" t="s">
        <v>330</v>
      </c>
      <c r="D4" s="60" t="s">
        <v>488</v>
      </c>
      <c r="E4" s="68" t="n">
        <f aca="false">'📘 Facebook_KPIs'!C4</f>
        <v>0</v>
      </c>
      <c r="F4" s="68" t="n">
        <f aca="false">'📘 Facebook_KPIs'!D4</f>
        <v>0</v>
      </c>
      <c r="G4" s="68" t="n">
        <f aca="false">'📘 Facebook_KPIs'!E4</f>
        <v>2366</v>
      </c>
      <c r="H4" s="68" t="n">
        <f aca="false">'📘 Facebook_KPIs'!F4</f>
        <v>166</v>
      </c>
      <c r="I4" s="68" t="n">
        <f aca="false">'📘 Facebook_KPIs'!G4</f>
        <v>20</v>
      </c>
      <c r="J4" s="68" t="n">
        <f aca="false">'📘 Facebook_KPIs'!H4</f>
        <v>7</v>
      </c>
      <c r="K4" s="64" t="n">
        <f aca="false">'📘 Facebook_KPIs'!I4</f>
        <v>0</v>
      </c>
      <c r="L4" s="64" t="n">
        <f aca="false">'📘 Facebook_KPIs'!J4</f>
        <v>0.0701606086221471</v>
      </c>
      <c r="M4" s="68" t="str">
        <f aca="false">'📘 Facebook_KPIs'!K4</f>
        <v/>
      </c>
      <c r="N4" s="68" t="str">
        <f aca="false">'📘 Facebook_KPIs'!L4</f>
        <v>✗ Por debajo</v>
      </c>
    </row>
    <row r="5" customFormat="false" ht="15" hidden="false" customHeight="true" outlineLevel="0" collapsed="false">
      <c r="A5" s="104" t="s">
        <v>489</v>
      </c>
      <c r="B5" s="66" t="n">
        <v>2021</v>
      </c>
      <c r="C5" s="67" t="s">
        <v>331</v>
      </c>
      <c r="D5" s="66" t="s">
        <v>488</v>
      </c>
      <c r="E5" s="68" t="n">
        <f aca="false">'📘 Facebook_KPIs'!C5</f>
        <v>0</v>
      </c>
      <c r="F5" s="68" t="n">
        <f aca="false">'📘 Facebook_KPIs'!D5</f>
        <v>0</v>
      </c>
      <c r="G5" s="68" t="n">
        <f aca="false">'📘 Facebook_KPIs'!E5</f>
        <v>917</v>
      </c>
      <c r="H5" s="68" t="n">
        <f aca="false">'📘 Facebook_KPIs'!F5</f>
        <v>49</v>
      </c>
      <c r="I5" s="68" t="n">
        <f aca="false">'📘 Facebook_KPIs'!G5</f>
        <v>10</v>
      </c>
      <c r="J5" s="68" t="n">
        <f aca="false">'📘 Facebook_KPIs'!H5</f>
        <v>1</v>
      </c>
      <c r="K5" s="64" t="n">
        <f aca="false">'📘 Facebook_KPIs'!I5</f>
        <v>0</v>
      </c>
      <c r="L5" s="64" t="n">
        <f aca="false">'📘 Facebook_KPIs'!J5</f>
        <v>0.0534351145038168</v>
      </c>
      <c r="M5" s="68" t="str">
        <f aca="false">'📘 Facebook_KPIs'!K5</f>
        <v/>
      </c>
      <c r="N5" s="68" t="str">
        <f aca="false">'📘 Facebook_KPIs'!L5</f>
        <v>✗ Por debajo</v>
      </c>
    </row>
    <row r="6" customFormat="false" ht="15" hidden="false" customHeight="true" outlineLevel="0" collapsed="false">
      <c r="A6" s="104" t="s">
        <v>490</v>
      </c>
      <c r="B6" s="60" t="n">
        <v>2021</v>
      </c>
      <c r="C6" s="61" t="s">
        <v>332</v>
      </c>
      <c r="D6" s="60" t="s">
        <v>488</v>
      </c>
      <c r="E6" s="68" t="n">
        <f aca="false">'📘 Facebook_KPIs'!C6</f>
        <v>0</v>
      </c>
      <c r="F6" s="68" t="n">
        <f aca="false">'📘 Facebook_KPIs'!D6</f>
        <v>0</v>
      </c>
      <c r="G6" s="68" t="n">
        <f aca="false">'📘 Facebook_KPIs'!E6</f>
        <v>2918</v>
      </c>
      <c r="H6" s="68" t="n">
        <f aca="false">'📘 Facebook_KPIs'!F6</f>
        <v>258</v>
      </c>
      <c r="I6" s="68" t="n">
        <f aca="false">'📘 Facebook_KPIs'!G6</f>
        <v>15</v>
      </c>
      <c r="J6" s="68" t="n">
        <f aca="false">'📘 Facebook_KPIs'!H6</f>
        <v>5</v>
      </c>
      <c r="K6" s="64" t="n">
        <f aca="false">'📘 Facebook_KPIs'!I6</f>
        <v>0</v>
      </c>
      <c r="L6" s="64" t="n">
        <f aca="false">'📘 Facebook_KPIs'!J6</f>
        <v>0.0884167237834133</v>
      </c>
      <c r="M6" s="68" t="str">
        <f aca="false">'📘 Facebook_KPIs'!K6</f>
        <v/>
      </c>
      <c r="N6" s="68" t="str">
        <f aca="false">'📘 Facebook_KPIs'!L6</f>
        <v>✓ Cumple</v>
      </c>
    </row>
    <row r="7" customFormat="false" ht="15" hidden="false" customHeight="true" outlineLevel="0" collapsed="false">
      <c r="A7" s="104" t="s">
        <v>491</v>
      </c>
      <c r="B7" s="66" t="n">
        <v>2021</v>
      </c>
      <c r="C7" s="67" t="s">
        <v>333</v>
      </c>
      <c r="D7" s="66" t="s">
        <v>488</v>
      </c>
      <c r="E7" s="68" t="n">
        <f aca="false">'📘 Facebook_KPIs'!C7</f>
        <v>0</v>
      </c>
      <c r="F7" s="68" t="n">
        <f aca="false">'📘 Facebook_KPIs'!D7</f>
        <v>0</v>
      </c>
      <c r="G7" s="68" t="n">
        <f aca="false">'📘 Facebook_KPIs'!E7</f>
        <v>10771</v>
      </c>
      <c r="H7" s="68" t="n">
        <f aca="false">'📘 Facebook_KPIs'!F7</f>
        <v>618</v>
      </c>
      <c r="I7" s="68" t="n">
        <f aca="false">'📘 Facebook_KPIs'!G7</f>
        <v>25</v>
      </c>
      <c r="J7" s="68" t="n">
        <f aca="false">'📘 Facebook_KPIs'!H7</f>
        <v>9</v>
      </c>
      <c r="K7" s="64" t="n">
        <f aca="false">'📘 Facebook_KPIs'!I7</f>
        <v>0</v>
      </c>
      <c r="L7" s="64" t="n">
        <f aca="false">'📘 Facebook_KPIs'!J7</f>
        <v>0.0573762881812274</v>
      </c>
      <c r="M7" s="68" t="str">
        <f aca="false">'📘 Facebook_KPIs'!K7</f>
        <v/>
      </c>
      <c r="N7" s="68" t="str">
        <f aca="false">'📘 Facebook_KPIs'!L7</f>
        <v>✗ Por debajo</v>
      </c>
    </row>
    <row r="8" customFormat="false" ht="15" hidden="false" customHeight="true" outlineLevel="0" collapsed="false">
      <c r="A8" s="104" t="s">
        <v>492</v>
      </c>
      <c r="B8" s="60" t="n">
        <v>2021</v>
      </c>
      <c r="C8" s="61" t="s">
        <v>65</v>
      </c>
      <c r="D8" s="60" t="s">
        <v>488</v>
      </c>
      <c r="E8" s="68" t="n">
        <f aca="false">'📘 Facebook_KPIs'!C8</f>
        <v>0</v>
      </c>
      <c r="F8" s="68" t="n">
        <f aca="false">'📘 Facebook_KPIs'!D8</f>
        <v>0</v>
      </c>
      <c r="G8" s="68" t="n">
        <f aca="false">'📘 Facebook_KPIs'!E8</f>
        <v>7737</v>
      </c>
      <c r="H8" s="68" t="n">
        <f aca="false">'📘 Facebook_KPIs'!F8</f>
        <v>633</v>
      </c>
      <c r="I8" s="68" t="n">
        <f aca="false">'📘 Facebook_KPIs'!G8</f>
        <v>18</v>
      </c>
      <c r="J8" s="68" t="n">
        <f aca="false">'📘 Facebook_KPIs'!H8</f>
        <v>11</v>
      </c>
      <c r="K8" s="64" t="n">
        <f aca="false">'📘 Facebook_KPIs'!I8</f>
        <v>0</v>
      </c>
      <c r="L8" s="64" t="n">
        <f aca="false">'📘 Facebook_KPIs'!J8</f>
        <v>0.0818146568437379</v>
      </c>
      <c r="M8" s="68" t="str">
        <f aca="false">'📘 Facebook_KPIs'!K8</f>
        <v/>
      </c>
      <c r="N8" s="68" t="str">
        <f aca="false">'📘 Facebook_KPIs'!L8</f>
        <v>✓ Cumple</v>
      </c>
    </row>
    <row r="9" customFormat="false" ht="15" hidden="false" customHeight="true" outlineLevel="0" collapsed="false">
      <c r="A9" s="104" t="s">
        <v>493</v>
      </c>
      <c r="B9" s="66" t="n">
        <v>2021</v>
      </c>
      <c r="C9" s="67" t="s">
        <v>108</v>
      </c>
      <c r="D9" s="66" t="s">
        <v>488</v>
      </c>
      <c r="E9" s="68" t="n">
        <f aca="false">'📘 Facebook_KPIs'!C9</f>
        <v>0</v>
      </c>
      <c r="F9" s="68" t="n">
        <f aca="false">'📘 Facebook_KPIs'!D9</f>
        <v>0</v>
      </c>
      <c r="G9" s="68" t="n">
        <f aca="false">'📘 Facebook_KPIs'!E9</f>
        <v>6680</v>
      </c>
      <c r="H9" s="68" t="n">
        <f aca="false">'📘 Facebook_KPIs'!F9</f>
        <v>536</v>
      </c>
      <c r="I9" s="68" t="n">
        <f aca="false">'📘 Facebook_KPIs'!G9</f>
        <v>15</v>
      </c>
      <c r="J9" s="68" t="n">
        <f aca="false">'📘 Facebook_KPIs'!H9</f>
        <v>11</v>
      </c>
      <c r="K9" s="64" t="n">
        <f aca="false">'📘 Facebook_KPIs'!I9</f>
        <v>0</v>
      </c>
      <c r="L9" s="64" t="n">
        <f aca="false">'📘 Facebook_KPIs'!J9</f>
        <v>0.0802395209580838</v>
      </c>
      <c r="M9" s="68" t="str">
        <f aca="false">'📘 Facebook_KPIs'!K9</f>
        <v/>
      </c>
      <c r="N9" s="68" t="str">
        <f aca="false">'📘 Facebook_KPIs'!L9</f>
        <v>✓ Cumple</v>
      </c>
    </row>
    <row r="10" customFormat="false" ht="15" hidden="false" customHeight="true" outlineLevel="0" collapsed="false">
      <c r="A10" s="104" t="s">
        <v>494</v>
      </c>
      <c r="B10" s="60" t="n">
        <v>2021</v>
      </c>
      <c r="C10" s="61" t="s">
        <v>137</v>
      </c>
      <c r="D10" s="60" t="s">
        <v>488</v>
      </c>
      <c r="E10" s="68" t="n">
        <f aca="false">'📘 Facebook_KPIs'!C10</f>
        <v>0</v>
      </c>
      <c r="F10" s="68" t="n">
        <f aca="false">'📘 Facebook_KPIs'!D10</f>
        <v>0</v>
      </c>
      <c r="G10" s="68" t="n">
        <f aca="false">'📘 Facebook_KPIs'!E10</f>
        <v>2182</v>
      </c>
      <c r="H10" s="68" t="n">
        <f aca="false">'📘 Facebook_KPIs'!F10</f>
        <v>125</v>
      </c>
      <c r="I10" s="68" t="n">
        <f aca="false">'📘 Facebook_KPIs'!G10</f>
        <v>8</v>
      </c>
      <c r="J10" s="68" t="n">
        <f aca="false">'📘 Facebook_KPIs'!H10</f>
        <v>3</v>
      </c>
      <c r="K10" s="64" t="n">
        <f aca="false">'📘 Facebook_KPIs'!I10</f>
        <v>0</v>
      </c>
      <c r="L10" s="64" t="n">
        <f aca="false">'📘 Facebook_KPIs'!J10</f>
        <v>0.0572868927589368</v>
      </c>
      <c r="M10" s="68" t="str">
        <f aca="false">'📘 Facebook_KPIs'!K10</f>
        <v/>
      </c>
      <c r="N10" s="68" t="str">
        <f aca="false">'📘 Facebook_KPIs'!L10</f>
        <v>✗ Por debajo</v>
      </c>
    </row>
    <row r="11" customFormat="false" ht="15" hidden="false" customHeight="true" outlineLevel="0" collapsed="false">
      <c r="A11" s="104" t="s">
        <v>495</v>
      </c>
      <c r="B11" s="66" t="n">
        <v>2021</v>
      </c>
      <c r="C11" s="67" t="s">
        <v>166</v>
      </c>
      <c r="D11" s="66" t="s">
        <v>488</v>
      </c>
      <c r="E11" s="68" t="n">
        <f aca="false">'📘 Facebook_KPIs'!C11</f>
        <v>0</v>
      </c>
      <c r="F11" s="68" t="n">
        <f aca="false">'📘 Facebook_KPIs'!D11</f>
        <v>0</v>
      </c>
      <c r="G11" s="68" t="n">
        <f aca="false">'📘 Facebook_KPIs'!E11</f>
        <v>782</v>
      </c>
      <c r="H11" s="68" t="n">
        <f aca="false">'📘 Facebook_KPIs'!F11</f>
        <v>68</v>
      </c>
      <c r="I11" s="68" t="n">
        <f aca="false">'📘 Facebook_KPIs'!G11</f>
        <v>5</v>
      </c>
      <c r="J11" s="68" t="n">
        <f aca="false">'📘 Facebook_KPIs'!H11</f>
        <v>1</v>
      </c>
      <c r="K11" s="64" t="n">
        <f aca="false">'📘 Facebook_KPIs'!I11</f>
        <v>0</v>
      </c>
      <c r="L11" s="64" t="n">
        <f aca="false">'📘 Facebook_KPIs'!J11</f>
        <v>0.0869565217391304</v>
      </c>
      <c r="M11" s="68" t="str">
        <f aca="false">'📘 Facebook_KPIs'!K11</f>
        <v/>
      </c>
      <c r="N11" s="68" t="str">
        <f aca="false">'📘 Facebook_KPIs'!L11</f>
        <v>✓ Cumple</v>
      </c>
    </row>
    <row r="12" customFormat="false" ht="15" hidden="false" customHeight="true" outlineLevel="0" collapsed="false">
      <c r="A12" s="104" t="s">
        <v>496</v>
      </c>
      <c r="B12" s="60" t="n">
        <v>2021</v>
      </c>
      <c r="C12" s="61" t="s">
        <v>334</v>
      </c>
      <c r="D12" s="60" t="s">
        <v>488</v>
      </c>
      <c r="E12" s="68" t="n">
        <f aca="false">'📘 Facebook_KPIs'!C12</f>
        <v>0</v>
      </c>
      <c r="F12" s="68" t="n">
        <f aca="false">'📘 Facebook_KPIs'!D12</f>
        <v>0</v>
      </c>
      <c r="G12" s="68" t="n">
        <f aca="false">'📘 Facebook_KPIs'!E12</f>
        <v>2302</v>
      </c>
      <c r="H12" s="68" t="n">
        <f aca="false">'📘 Facebook_KPIs'!F12</f>
        <v>141</v>
      </c>
      <c r="I12" s="68" t="n">
        <f aca="false">'📘 Facebook_KPIs'!G12</f>
        <v>8</v>
      </c>
      <c r="J12" s="68" t="n">
        <f aca="false">'📘 Facebook_KPIs'!H12</f>
        <v>3</v>
      </c>
      <c r="K12" s="64" t="n">
        <f aca="false">'📘 Facebook_KPIs'!I12</f>
        <v>0</v>
      </c>
      <c r="L12" s="64" t="n">
        <f aca="false">'📘 Facebook_KPIs'!J12</f>
        <v>0.0612510860121633</v>
      </c>
      <c r="M12" s="68" t="str">
        <f aca="false">'📘 Facebook_KPIs'!K12</f>
        <v/>
      </c>
      <c r="N12" s="68" t="str">
        <f aca="false">'📘 Facebook_KPIs'!L12</f>
        <v>✗ Por debajo</v>
      </c>
    </row>
    <row r="13" customFormat="false" ht="15" hidden="false" customHeight="true" outlineLevel="0" collapsed="false">
      <c r="A13" s="104" t="s">
        <v>497</v>
      </c>
      <c r="B13" s="66" t="n">
        <v>2021</v>
      </c>
      <c r="C13" s="67" t="s">
        <v>218</v>
      </c>
      <c r="D13" s="66" t="s">
        <v>488</v>
      </c>
      <c r="E13" s="68" t="n">
        <f aca="false">'📘 Facebook_KPIs'!C13</f>
        <v>0</v>
      </c>
      <c r="F13" s="68" t="n">
        <f aca="false">'📘 Facebook_KPIs'!D13</f>
        <v>0</v>
      </c>
      <c r="G13" s="68" t="n">
        <f aca="false">'📘 Facebook_KPIs'!E13</f>
        <v>4109</v>
      </c>
      <c r="H13" s="68" t="n">
        <f aca="false">'📘 Facebook_KPIs'!F13</f>
        <v>282</v>
      </c>
      <c r="I13" s="68" t="n">
        <f aca="false">'📘 Facebook_KPIs'!G13</f>
        <v>12</v>
      </c>
      <c r="J13" s="68" t="n">
        <f aca="false">'📘 Facebook_KPIs'!H13</f>
        <v>7</v>
      </c>
      <c r="K13" s="64" t="n">
        <f aca="false">'📘 Facebook_KPIs'!I13</f>
        <v>0</v>
      </c>
      <c r="L13" s="64" t="n">
        <f aca="false">'📘 Facebook_KPIs'!J13</f>
        <v>0.0686298369432952</v>
      </c>
      <c r="M13" s="68" t="str">
        <f aca="false">'📘 Facebook_KPIs'!K13</f>
        <v/>
      </c>
      <c r="N13" s="68" t="str">
        <f aca="false">'📘 Facebook_KPIs'!L13</f>
        <v>✗ Por debajo</v>
      </c>
    </row>
    <row r="14" customFormat="false" ht="15" hidden="false" customHeight="true" outlineLevel="0" collapsed="false">
      <c r="A14" s="104" t="s">
        <v>498</v>
      </c>
      <c r="B14" s="60" t="n">
        <v>2021</v>
      </c>
      <c r="C14" s="61" t="s">
        <v>244</v>
      </c>
      <c r="D14" s="60" t="s">
        <v>488</v>
      </c>
      <c r="E14" s="68" t="n">
        <f aca="false">'📘 Facebook_KPIs'!C14</f>
        <v>0</v>
      </c>
      <c r="F14" s="68" t="n">
        <f aca="false">'📘 Facebook_KPIs'!D14</f>
        <v>0</v>
      </c>
      <c r="G14" s="68" t="n">
        <f aca="false">'📘 Facebook_KPIs'!E14</f>
        <v>1748</v>
      </c>
      <c r="H14" s="68" t="n">
        <f aca="false">'📘 Facebook_KPIs'!F14</f>
        <v>122</v>
      </c>
      <c r="I14" s="68" t="n">
        <f aca="false">'📘 Facebook_KPIs'!G14</f>
        <v>8</v>
      </c>
      <c r="J14" s="68" t="n">
        <f aca="false">'📘 Facebook_KPIs'!H14</f>
        <v>5</v>
      </c>
      <c r="K14" s="64" t="n">
        <f aca="false">'📘 Facebook_KPIs'!I14</f>
        <v>0</v>
      </c>
      <c r="L14" s="64" t="n">
        <f aca="false">'📘 Facebook_KPIs'!J14</f>
        <v>0.0697940503432494</v>
      </c>
      <c r="M14" s="68" t="str">
        <f aca="false">'📘 Facebook_KPIs'!K14</f>
        <v/>
      </c>
      <c r="N14" s="68" t="str">
        <f aca="false">'📘 Facebook_KPIs'!L14</f>
        <v>✗ Por debajo</v>
      </c>
    </row>
    <row r="15" customFormat="false" ht="15" hidden="false" customHeight="true" outlineLevel="0" collapsed="false">
      <c r="A15" s="104" t="s">
        <v>499</v>
      </c>
      <c r="B15" s="66" t="n">
        <v>2021</v>
      </c>
      <c r="C15" s="67" t="s">
        <v>270</v>
      </c>
      <c r="D15" s="66" t="s">
        <v>488</v>
      </c>
      <c r="E15" s="68" t="n">
        <f aca="false">'📘 Facebook_KPIs'!C15</f>
        <v>0</v>
      </c>
      <c r="F15" s="68" t="n">
        <f aca="false">'📘 Facebook_KPIs'!D15</f>
        <v>0</v>
      </c>
      <c r="G15" s="68" t="n">
        <f aca="false">'📘 Facebook_KPIs'!E15</f>
        <v>3016</v>
      </c>
      <c r="H15" s="68" t="n">
        <f aca="false">'📘 Facebook_KPIs'!F15</f>
        <v>316</v>
      </c>
      <c r="I15" s="68" t="n">
        <f aca="false">'📘 Facebook_KPIs'!G15</f>
        <v>10</v>
      </c>
      <c r="J15" s="68" t="n">
        <f aca="false">'📘 Facebook_KPIs'!H15</f>
        <v>6</v>
      </c>
      <c r="K15" s="64" t="n">
        <f aca="false">'📘 Facebook_KPIs'!I15</f>
        <v>0</v>
      </c>
      <c r="L15" s="64" t="n">
        <f aca="false">'📘 Facebook_KPIs'!J15</f>
        <v>0.104774535809019</v>
      </c>
      <c r="M15" s="68" t="str">
        <f aca="false">'📘 Facebook_KPIs'!K15</f>
        <v/>
      </c>
      <c r="N15" s="68" t="str">
        <f aca="false">'📘 Facebook_KPIs'!L15</f>
        <v>✓ Cumple</v>
      </c>
    </row>
    <row r="16" customFormat="false" ht="15" hidden="false" customHeight="true" outlineLevel="0" collapsed="false">
      <c r="A16" s="104" t="s">
        <v>500</v>
      </c>
      <c r="B16" s="60" t="n">
        <v>2022</v>
      </c>
      <c r="C16" s="61" t="s">
        <v>330</v>
      </c>
      <c r="D16" s="60" t="s">
        <v>488</v>
      </c>
      <c r="E16" s="68" t="n">
        <f aca="false">'📘 Facebook_KPIs'!C16</f>
        <v>2571</v>
      </c>
      <c r="F16" s="68" t="n">
        <f aca="false">'📘 Facebook_KPIs'!D16</f>
        <v>3344</v>
      </c>
      <c r="G16" s="68" t="n">
        <f aca="false">'📘 Facebook_KPIs'!E16</f>
        <v>1203</v>
      </c>
      <c r="H16" s="68" t="n">
        <f aca="false">'📘 Facebook_KPIs'!F16</f>
        <v>116</v>
      </c>
      <c r="I16" s="68" t="n">
        <f aca="false">'📘 Facebook_KPIs'!G16</f>
        <v>33</v>
      </c>
      <c r="J16" s="68" t="n">
        <f aca="false">'📘 Facebook_KPIs'!H16</f>
        <v>4</v>
      </c>
      <c r="K16" s="64" t="n">
        <f aca="false">'📘 Facebook_KPIs'!I16</f>
        <v>0.467911318553092</v>
      </c>
      <c r="L16" s="64" t="n">
        <f aca="false">'📘 Facebook_KPIs'!J16</f>
        <v>0.0964256026600166</v>
      </c>
      <c r="M16" s="68" t="str">
        <f aca="false">'📘 Facebook_KPIs'!K16</f>
        <v>✓ Cumple</v>
      </c>
      <c r="N16" s="68" t="str">
        <f aca="false">'📘 Facebook_KPIs'!L16</f>
        <v>✓ Cumple</v>
      </c>
    </row>
    <row r="17" customFormat="false" ht="15" hidden="false" customHeight="true" outlineLevel="0" collapsed="false">
      <c r="A17" s="104" t="s">
        <v>501</v>
      </c>
      <c r="B17" s="66" t="n">
        <v>2022</v>
      </c>
      <c r="C17" s="67" t="s">
        <v>331</v>
      </c>
      <c r="D17" s="66" t="s">
        <v>488</v>
      </c>
      <c r="E17" s="68" t="n">
        <f aca="false">'📘 Facebook_KPIs'!C17</f>
        <v>2610</v>
      </c>
      <c r="F17" s="68" t="n">
        <f aca="false">'📘 Facebook_KPIs'!D17</f>
        <v>4322</v>
      </c>
      <c r="G17" s="68" t="n">
        <f aca="false">'📘 Facebook_KPIs'!E17</f>
        <v>647</v>
      </c>
      <c r="H17" s="68" t="n">
        <f aca="false">'📘 Facebook_KPIs'!F17</f>
        <v>399</v>
      </c>
      <c r="I17" s="68" t="n">
        <f aca="false">'📘 Facebook_KPIs'!G17</f>
        <v>39</v>
      </c>
      <c r="J17" s="68" t="n">
        <f aca="false">'📘 Facebook_KPIs'!H17</f>
        <v>4</v>
      </c>
      <c r="K17" s="64" t="n">
        <f aca="false">'📘 Facebook_KPIs'!I17</f>
        <v>0.247892720306513</v>
      </c>
      <c r="L17" s="64" t="n">
        <f aca="false">'📘 Facebook_KPIs'!J17</f>
        <v>0.616692426584235</v>
      </c>
      <c r="M17" s="68" t="str">
        <f aca="false">'📘 Facebook_KPIs'!K17</f>
        <v>✓ Cumple</v>
      </c>
      <c r="N17" s="68" t="str">
        <f aca="false">'📘 Facebook_KPIs'!L17</f>
        <v>✓ Cumple</v>
      </c>
    </row>
    <row r="18" customFormat="false" ht="15" hidden="false" customHeight="true" outlineLevel="0" collapsed="false">
      <c r="A18" s="104" t="s">
        <v>502</v>
      </c>
      <c r="B18" s="60" t="n">
        <v>2022</v>
      </c>
      <c r="C18" s="61" t="s">
        <v>332</v>
      </c>
      <c r="D18" s="60" t="s">
        <v>488</v>
      </c>
      <c r="E18" s="68" t="n">
        <f aca="false">'📘 Facebook_KPIs'!C18</f>
        <v>2634</v>
      </c>
      <c r="F18" s="68" t="n">
        <f aca="false">'📘 Facebook_KPIs'!D18</f>
        <v>3146</v>
      </c>
      <c r="G18" s="68" t="n">
        <f aca="false">'📘 Facebook_KPIs'!E18</f>
        <v>1076</v>
      </c>
      <c r="H18" s="68" t="n">
        <f aca="false">'📘 Facebook_KPIs'!F18</f>
        <v>154</v>
      </c>
      <c r="I18" s="68" t="n">
        <f aca="false">'📘 Facebook_KPIs'!G18</f>
        <v>24</v>
      </c>
      <c r="J18" s="68" t="n">
        <f aca="false">'📘 Facebook_KPIs'!H18</f>
        <v>4</v>
      </c>
      <c r="K18" s="64" t="n">
        <f aca="false">'📘 Facebook_KPIs'!I18</f>
        <v>0.408504176157935</v>
      </c>
      <c r="L18" s="64" t="n">
        <f aca="false">'📘 Facebook_KPIs'!J18</f>
        <v>0.143122676579926</v>
      </c>
      <c r="M18" s="68" t="str">
        <f aca="false">'📘 Facebook_KPIs'!K18</f>
        <v>✓ Cumple</v>
      </c>
      <c r="N18" s="68" t="str">
        <f aca="false">'📘 Facebook_KPIs'!L18</f>
        <v>✓ Cumple</v>
      </c>
    </row>
    <row r="19" customFormat="false" ht="15" hidden="false" customHeight="true" outlineLevel="0" collapsed="false">
      <c r="A19" s="104" t="s">
        <v>503</v>
      </c>
      <c r="B19" s="66" t="n">
        <v>2022</v>
      </c>
      <c r="C19" s="67" t="s">
        <v>333</v>
      </c>
      <c r="D19" s="66" t="s">
        <v>488</v>
      </c>
      <c r="E19" s="68" t="n">
        <f aca="false">'📘 Facebook_KPIs'!C19</f>
        <v>2642</v>
      </c>
      <c r="F19" s="68" t="n">
        <f aca="false">'📘 Facebook_KPIs'!D19</f>
        <v>3743</v>
      </c>
      <c r="G19" s="68" t="n">
        <f aca="false">'📘 Facebook_KPIs'!E19</f>
        <v>390</v>
      </c>
      <c r="H19" s="68" t="n">
        <f aca="false">'📘 Facebook_KPIs'!F19</f>
        <v>118</v>
      </c>
      <c r="I19" s="68" t="n">
        <f aca="false">'📘 Facebook_KPIs'!G19</f>
        <v>8</v>
      </c>
      <c r="J19" s="68" t="n">
        <f aca="false">'📘 Facebook_KPIs'!H19</f>
        <v>4</v>
      </c>
      <c r="K19" s="64" t="n">
        <f aca="false">'📘 Facebook_KPIs'!I19</f>
        <v>0.147615442846329</v>
      </c>
      <c r="L19" s="64" t="n">
        <f aca="false">'📘 Facebook_KPIs'!J19</f>
        <v>0.302564102564103</v>
      </c>
      <c r="M19" s="68" t="str">
        <f aca="false">'📘 Facebook_KPIs'!K19</f>
        <v>✗ Por debajo</v>
      </c>
      <c r="N19" s="68" t="str">
        <f aca="false">'📘 Facebook_KPIs'!L19</f>
        <v>✓ Cumple</v>
      </c>
    </row>
    <row r="20" customFormat="false" ht="15" hidden="false" customHeight="true" outlineLevel="0" collapsed="false">
      <c r="A20" s="104" t="s">
        <v>504</v>
      </c>
      <c r="B20" s="60" t="n">
        <v>2022</v>
      </c>
      <c r="C20" s="61" t="s">
        <v>65</v>
      </c>
      <c r="D20" s="60" t="s">
        <v>488</v>
      </c>
      <c r="E20" s="68" t="n">
        <f aca="false">'📘 Facebook_KPIs'!C20</f>
        <v>2671</v>
      </c>
      <c r="F20" s="68" t="n">
        <f aca="false">'📘 Facebook_KPIs'!D20</f>
        <v>4084</v>
      </c>
      <c r="G20" s="68" t="n">
        <f aca="false">'📘 Facebook_KPIs'!E20</f>
        <v>358</v>
      </c>
      <c r="H20" s="68" t="n">
        <f aca="false">'📘 Facebook_KPIs'!F20</f>
        <v>161</v>
      </c>
      <c r="I20" s="68" t="n">
        <f aca="false">'📘 Facebook_KPIs'!G20</f>
        <v>29</v>
      </c>
      <c r="J20" s="68" t="n">
        <f aca="false">'📘 Facebook_KPIs'!H20</f>
        <v>5</v>
      </c>
      <c r="K20" s="64" t="n">
        <f aca="false">'📘 Facebook_KPIs'!I20</f>
        <v>0.134032197678772</v>
      </c>
      <c r="L20" s="64" t="n">
        <f aca="false">'📘 Facebook_KPIs'!J20</f>
        <v>0.449720670391061</v>
      </c>
      <c r="M20" s="68" t="str">
        <f aca="false">'📘 Facebook_KPIs'!K20</f>
        <v>✗ Por debajo</v>
      </c>
      <c r="N20" s="68" t="str">
        <f aca="false">'📘 Facebook_KPIs'!L20</f>
        <v>✓ Cumple</v>
      </c>
    </row>
    <row r="21" customFormat="false" ht="15" hidden="false" customHeight="true" outlineLevel="0" collapsed="false">
      <c r="A21" s="104" t="s">
        <v>505</v>
      </c>
      <c r="B21" s="66" t="n">
        <v>2022</v>
      </c>
      <c r="C21" s="67" t="s">
        <v>108</v>
      </c>
      <c r="D21" s="66" t="s">
        <v>488</v>
      </c>
      <c r="E21" s="68" t="n">
        <f aca="false">'📘 Facebook_KPIs'!C21</f>
        <v>2692</v>
      </c>
      <c r="F21" s="68" t="n">
        <f aca="false">'📘 Facebook_KPIs'!D21</f>
        <v>4748</v>
      </c>
      <c r="G21" s="68" t="n">
        <f aca="false">'📘 Facebook_KPIs'!E21</f>
        <v>426</v>
      </c>
      <c r="H21" s="68" t="n">
        <f aca="false">'📘 Facebook_KPIs'!F21</f>
        <v>297</v>
      </c>
      <c r="I21" s="68" t="n">
        <f aca="false">'📘 Facebook_KPIs'!G21</f>
        <v>21</v>
      </c>
      <c r="J21" s="68" t="n">
        <f aca="false">'📘 Facebook_KPIs'!H21</f>
        <v>6</v>
      </c>
      <c r="K21" s="64" t="n">
        <f aca="false">'📘 Facebook_KPIs'!I21</f>
        <v>0.158246656760773</v>
      </c>
      <c r="L21" s="64" t="n">
        <f aca="false">'📘 Facebook_KPIs'!J21</f>
        <v>0.697183098591549</v>
      </c>
      <c r="M21" s="68" t="str">
        <f aca="false">'📘 Facebook_KPIs'!K21</f>
        <v>✗ Por debajo</v>
      </c>
      <c r="N21" s="68" t="str">
        <f aca="false">'📘 Facebook_KPIs'!L21</f>
        <v>✓ Cumple</v>
      </c>
    </row>
    <row r="22" customFormat="false" ht="15" hidden="false" customHeight="true" outlineLevel="0" collapsed="false">
      <c r="A22" s="104" t="s">
        <v>506</v>
      </c>
      <c r="B22" s="60" t="n">
        <v>2022</v>
      </c>
      <c r="C22" s="61" t="s">
        <v>137</v>
      </c>
      <c r="D22" s="60" t="s">
        <v>488</v>
      </c>
      <c r="E22" s="68" t="n">
        <f aca="false">'📘 Facebook_KPIs'!C22</f>
        <v>2705</v>
      </c>
      <c r="F22" s="68" t="n">
        <f aca="false">'📘 Facebook_KPIs'!D22</f>
        <v>3942</v>
      </c>
      <c r="G22" s="68" t="n">
        <f aca="false">'📘 Facebook_KPIs'!E22</f>
        <v>771</v>
      </c>
      <c r="H22" s="68" t="n">
        <f aca="false">'📘 Facebook_KPIs'!F22</f>
        <v>297</v>
      </c>
      <c r="I22" s="68" t="n">
        <f aca="false">'📘 Facebook_KPIs'!G22</f>
        <v>13</v>
      </c>
      <c r="J22" s="68" t="n">
        <f aca="false">'📘 Facebook_KPIs'!H22</f>
        <v>3</v>
      </c>
      <c r="K22" s="64" t="n">
        <f aca="false">'📘 Facebook_KPIs'!I22</f>
        <v>0.285027726432532</v>
      </c>
      <c r="L22" s="64" t="n">
        <f aca="false">'📘 Facebook_KPIs'!J22</f>
        <v>0.385214007782101</v>
      </c>
      <c r="M22" s="68" t="str">
        <f aca="false">'📘 Facebook_KPIs'!K22</f>
        <v>✓ Cumple</v>
      </c>
      <c r="N22" s="68" t="str">
        <f aca="false">'📘 Facebook_KPIs'!L22</f>
        <v>✓ Cumple</v>
      </c>
    </row>
    <row r="23" customFormat="false" ht="15" hidden="false" customHeight="true" outlineLevel="0" collapsed="false">
      <c r="A23" s="104" t="s">
        <v>507</v>
      </c>
      <c r="B23" s="66" t="n">
        <v>2022</v>
      </c>
      <c r="C23" s="67" t="s">
        <v>166</v>
      </c>
      <c r="D23" s="66" t="s">
        <v>488</v>
      </c>
      <c r="E23" s="68" t="n">
        <f aca="false">'📘 Facebook_KPIs'!C23</f>
        <v>2722</v>
      </c>
      <c r="F23" s="68" t="n">
        <f aca="false">'📘 Facebook_KPIs'!D23</f>
        <v>0</v>
      </c>
      <c r="G23" s="68" t="n">
        <f aca="false">'📘 Facebook_KPIs'!E23</f>
        <v>542</v>
      </c>
      <c r="H23" s="68" t="n">
        <f aca="false">'📘 Facebook_KPIs'!F23</f>
        <v>147</v>
      </c>
      <c r="I23" s="68" t="n">
        <f aca="false">'📘 Facebook_KPIs'!G23</f>
        <v>17</v>
      </c>
      <c r="J23" s="68" t="n">
        <f aca="false">'📘 Facebook_KPIs'!H23</f>
        <v>5</v>
      </c>
      <c r="K23" s="64" t="n">
        <f aca="false">'📘 Facebook_KPIs'!I23</f>
        <v>0.199118295371051</v>
      </c>
      <c r="L23" s="64" t="n">
        <f aca="false">'📘 Facebook_KPIs'!J23</f>
        <v>0.271217712177122</v>
      </c>
      <c r="M23" s="68" t="str">
        <f aca="false">'📘 Facebook_KPIs'!K23</f>
        <v>✓ Cumple</v>
      </c>
      <c r="N23" s="68" t="str">
        <f aca="false">'📘 Facebook_KPIs'!L23</f>
        <v>✓ Cumple</v>
      </c>
    </row>
    <row r="24" customFormat="false" ht="15" hidden="false" customHeight="true" outlineLevel="0" collapsed="false">
      <c r="A24" s="104" t="s">
        <v>508</v>
      </c>
      <c r="B24" s="60" t="n">
        <v>2022</v>
      </c>
      <c r="C24" s="61" t="s">
        <v>334</v>
      </c>
      <c r="D24" s="60" t="s">
        <v>488</v>
      </c>
      <c r="E24" s="68" t="n">
        <f aca="false">'📘 Facebook_KPIs'!C24</f>
        <v>2726</v>
      </c>
      <c r="F24" s="68" t="n">
        <f aca="false">'📘 Facebook_KPIs'!D24</f>
        <v>0</v>
      </c>
      <c r="G24" s="68" t="n">
        <f aca="false">'📘 Facebook_KPIs'!E24</f>
        <v>308</v>
      </c>
      <c r="H24" s="68" t="n">
        <f aca="false">'📘 Facebook_KPIs'!F24</f>
        <v>36</v>
      </c>
      <c r="I24" s="68" t="n">
        <f aca="false">'📘 Facebook_KPIs'!G24</f>
        <v>7</v>
      </c>
      <c r="J24" s="68" t="n">
        <f aca="false">'📘 Facebook_KPIs'!H24</f>
        <v>4</v>
      </c>
      <c r="K24" s="64" t="n">
        <f aca="false">'📘 Facebook_KPIs'!I24</f>
        <v>0.112986060161409</v>
      </c>
      <c r="L24" s="64" t="n">
        <f aca="false">'📘 Facebook_KPIs'!J24</f>
        <v>0.116883116883117</v>
      </c>
      <c r="M24" s="68" t="str">
        <f aca="false">'📘 Facebook_KPIs'!K24</f>
        <v>✗ Por debajo</v>
      </c>
      <c r="N24" s="68" t="str">
        <f aca="false">'📘 Facebook_KPIs'!L24</f>
        <v>✓ Cumple</v>
      </c>
    </row>
    <row r="25" customFormat="false" ht="15" hidden="false" customHeight="true" outlineLevel="0" collapsed="false">
      <c r="A25" s="104" t="s">
        <v>509</v>
      </c>
      <c r="B25" s="66" t="n">
        <v>2022</v>
      </c>
      <c r="C25" s="67" t="s">
        <v>218</v>
      </c>
      <c r="D25" s="66" t="s">
        <v>488</v>
      </c>
      <c r="E25" s="68" t="n">
        <f aca="false">'📘 Facebook_KPIs'!C25</f>
        <v>2726</v>
      </c>
      <c r="F25" s="68" t="n">
        <f aca="false">'📘 Facebook_KPIs'!D25</f>
        <v>0</v>
      </c>
      <c r="G25" s="68" t="n">
        <f aca="false">'📘 Facebook_KPIs'!E25</f>
        <v>446</v>
      </c>
      <c r="H25" s="68" t="n">
        <f aca="false">'📘 Facebook_KPIs'!F25</f>
        <v>147</v>
      </c>
      <c r="I25" s="68" t="n">
        <f aca="false">'📘 Facebook_KPIs'!G25</f>
        <v>12</v>
      </c>
      <c r="J25" s="68" t="n">
        <f aca="false">'📘 Facebook_KPIs'!H25</f>
        <v>4</v>
      </c>
      <c r="K25" s="64" t="n">
        <f aca="false">'📘 Facebook_KPIs'!I25</f>
        <v>0.163609684519442</v>
      </c>
      <c r="L25" s="64" t="n">
        <f aca="false">'📘 Facebook_KPIs'!J25</f>
        <v>0.329596412556054</v>
      </c>
      <c r="M25" s="68" t="str">
        <f aca="false">'📘 Facebook_KPIs'!K25</f>
        <v>✗ Por debajo</v>
      </c>
      <c r="N25" s="68" t="str">
        <f aca="false">'📘 Facebook_KPIs'!L25</f>
        <v>✓ Cumple</v>
      </c>
    </row>
    <row r="26" customFormat="false" ht="15" hidden="false" customHeight="true" outlineLevel="0" collapsed="false">
      <c r="A26" s="104" t="s">
        <v>510</v>
      </c>
      <c r="B26" s="60" t="n">
        <v>2022</v>
      </c>
      <c r="C26" s="61" t="s">
        <v>244</v>
      </c>
      <c r="D26" s="60" t="s">
        <v>488</v>
      </c>
      <c r="E26" s="68" t="n">
        <f aca="false">'📘 Facebook_KPIs'!C26</f>
        <v>2760</v>
      </c>
      <c r="F26" s="68" t="n">
        <f aca="false">'📘 Facebook_KPIs'!D26</f>
        <v>0</v>
      </c>
      <c r="G26" s="68" t="n">
        <f aca="false">'📘 Facebook_KPIs'!E26</f>
        <v>961</v>
      </c>
      <c r="H26" s="68" t="n">
        <f aca="false">'📘 Facebook_KPIs'!F26</f>
        <v>178</v>
      </c>
      <c r="I26" s="68" t="n">
        <f aca="false">'📘 Facebook_KPIs'!G26</f>
        <v>6</v>
      </c>
      <c r="J26" s="68" t="n">
        <f aca="false">'📘 Facebook_KPIs'!H26</f>
        <v>3</v>
      </c>
      <c r="K26" s="64" t="n">
        <f aca="false">'📘 Facebook_KPIs'!I26</f>
        <v>0.348188405797102</v>
      </c>
      <c r="L26" s="64" t="n">
        <f aca="false">'📘 Facebook_KPIs'!J26</f>
        <v>0.18522372528616</v>
      </c>
      <c r="M26" s="68" t="str">
        <f aca="false">'📘 Facebook_KPIs'!K26</f>
        <v>✓ Cumple</v>
      </c>
      <c r="N26" s="68" t="str">
        <f aca="false">'📘 Facebook_KPIs'!L26</f>
        <v>✓ Cumple</v>
      </c>
    </row>
    <row r="27" customFormat="false" ht="15" hidden="false" customHeight="true" outlineLevel="0" collapsed="false">
      <c r="A27" s="104" t="s">
        <v>511</v>
      </c>
      <c r="B27" s="66" t="n">
        <v>2022</v>
      </c>
      <c r="C27" s="67" t="s">
        <v>270</v>
      </c>
      <c r="D27" s="66" t="s">
        <v>488</v>
      </c>
      <c r="E27" s="68" t="n">
        <f aca="false">'📘 Facebook_KPIs'!C27</f>
        <v>2760</v>
      </c>
      <c r="F27" s="68" t="n">
        <f aca="false">'📘 Facebook_KPIs'!D27</f>
        <v>0</v>
      </c>
      <c r="G27" s="68" t="n">
        <f aca="false">'📘 Facebook_KPIs'!E27</f>
        <v>1041</v>
      </c>
      <c r="H27" s="68" t="n">
        <f aca="false">'📘 Facebook_KPIs'!F27</f>
        <v>269</v>
      </c>
      <c r="I27" s="68" t="n">
        <f aca="false">'📘 Facebook_KPIs'!G27</f>
        <v>35</v>
      </c>
      <c r="J27" s="68" t="n">
        <f aca="false">'📘 Facebook_KPIs'!H27</f>
        <v>2</v>
      </c>
      <c r="K27" s="64" t="n">
        <f aca="false">'📘 Facebook_KPIs'!I27</f>
        <v>0.377173913043478</v>
      </c>
      <c r="L27" s="64" t="n">
        <f aca="false">'📘 Facebook_KPIs'!J27</f>
        <v>0.258405379442843</v>
      </c>
      <c r="M27" s="68" t="str">
        <f aca="false">'📘 Facebook_KPIs'!K27</f>
        <v>✓ Cumple</v>
      </c>
      <c r="N27" s="68" t="str">
        <f aca="false">'📘 Facebook_KPIs'!L27</f>
        <v>✓ Cumple</v>
      </c>
    </row>
    <row r="28" customFormat="false" ht="15" hidden="false" customHeight="true" outlineLevel="0" collapsed="false">
      <c r="A28" s="104" t="s">
        <v>512</v>
      </c>
      <c r="B28" s="60" t="n">
        <v>2023</v>
      </c>
      <c r="C28" s="61" t="s">
        <v>330</v>
      </c>
      <c r="D28" s="60" t="s">
        <v>488</v>
      </c>
      <c r="E28" s="68" t="n">
        <f aca="false">'📘 Facebook_KPIs'!C28</f>
        <v>2865</v>
      </c>
      <c r="F28" s="68" t="n">
        <f aca="false">'📘 Facebook_KPIs'!D28</f>
        <v>0</v>
      </c>
      <c r="G28" s="68" t="n">
        <f aca="false">'📘 Facebook_KPIs'!E28</f>
        <v>1596</v>
      </c>
      <c r="H28" s="68" t="n">
        <f aca="false">'📘 Facebook_KPIs'!F28</f>
        <v>152</v>
      </c>
      <c r="I28" s="68" t="n">
        <f aca="false">'📘 Facebook_KPIs'!G28</f>
        <v>43</v>
      </c>
      <c r="J28" s="68" t="n">
        <f aca="false">'📘 Facebook_KPIs'!H28</f>
        <v>2</v>
      </c>
      <c r="K28" s="64" t="n">
        <f aca="false">'📘 Facebook_KPIs'!I28</f>
        <v>0.557068062827225</v>
      </c>
      <c r="L28" s="64" t="n">
        <f aca="false">'📘 Facebook_KPIs'!J28</f>
        <v>0.0952380952380952</v>
      </c>
      <c r="M28" s="68" t="str">
        <f aca="false">'📘 Facebook_KPIs'!K28</f>
        <v>✓ Cumple</v>
      </c>
      <c r="N28" s="68" t="str">
        <f aca="false">'📘 Facebook_KPIs'!L28</f>
        <v>✓ Cumple</v>
      </c>
    </row>
    <row r="29" customFormat="false" ht="15" hidden="false" customHeight="true" outlineLevel="0" collapsed="false">
      <c r="A29" s="104" t="s">
        <v>513</v>
      </c>
      <c r="B29" s="66" t="n">
        <v>2023</v>
      </c>
      <c r="C29" s="67" t="s">
        <v>331</v>
      </c>
      <c r="D29" s="66" t="s">
        <v>488</v>
      </c>
      <c r="E29" s="68" t="n">
        <f aca="false">'📘 Facebook_KPIs'!C29</f>
        <v>2877</v>
      </c>
      <c r="F29" s="68" t="n">
        <f aca="false">'📘 Facebook_KPIs'!D29</f>
        <v>3867</v>
      </c>
      <c r="G29" s="68" t="n">
        <f aca="false">'📘 Facebook_KPIs'!E29</f>
        <v>795</v>
      </c>
      <c r="H29" s="68" t="n">
        <f aca="false">'📘 Facebook_KPIs'!F29</f>
        <v>340</v>
      </c>
      <c r="I29" s="68" t="n">
        <f aca="false">'📘 Facebook_KPIs'!G29</f>
        <v>19</v>
      </c>
      <c r="J29" s="68" t="n">
        <f aca="false">'📘 Facebook_KPIs'!H29</f>
        <v>4</v>
      </c>
      <c r="K29" s="64" t="n">
        <f aca="false">'📘 Facebook_KPIs'!I29</f>
        <v>0.276329509906152</v>
      </c>
      <c r="L29" s="64" t="n">
        <f aca="false">'📘 Facebook_KPIs'!J29</f>
        <v>0.427672955974843</v>
      </c>
      <c r="M29" s="68" t="str">
        <f aca="false">'📘 Facebook_KPIs'!K29</f>
        <v>✓ Cumple</v>
      </c>
      <c r="N29" s="68" t="str">
        <f aca="false">'📘 Facebook_KPIs'!L29</f>
        <v>✓ Cumple</v>
      </c>
    </row>
    <row r="30" customFormat="false" ht="15" hidden="false" customHeight="true" outlineLevel="0" collapsed="false">
      <c r="A30" s="104" t="s">
        <v>514</v>
      </c>
      <c r="B30" s="60" t="n">
        <v>2023</v>
      </c>
      <c r="C30" s="61" t="s">
        <v>332</v>
      </c>
      <c r="D30" s="60" t="s">
        <v>488</v>
      </c>
      <c r="E30" s="68" t="n">
        <f aca="false">'📘 Facebook_KPIs'!C30</f>
        <v>2911</v>
      </c>
      <c r="F30" s="68" t="n">
        <f aca="false">'📘 Facebook_KPIs'!D30</f>
        <v>0</v>
      </c>
      <c r="G30" s="68" t="n">
        <f aca="false">'📘 Facebook_KPIs'!E30</f>
        <v>436</v>
      </c>
      <c r="H30" s="68" t="n">
        <f aca="false">'📘 Facebook_KPIs'!F30</f>
        <v>39</v>
      </c>
      <c r="I30" s="68" t="n">
        <f aca="false">'📘 Facebook_KPIs'!G30</f>
        <v>24</v>
      </c>
      <c r="J30" s="68" t="n">
        <f aca="false">'📘 Facebook_KPIs'!H30</f>
        <v>2</v>
      </c>
      <c r="K30" s="64" t="n">
        <f aca="false">'📘 Facebook_KPIs'!I30</f>
        <v>0.149776709034696</v>
      </c>
      <c r="L30" s="64" t="n">
        <f aca="false">'📘 Facebook_KPIs'!J30</f>
        <v>0.0894495412844037</v>
      </c>
      <c r="M30" s="68" t="str">
        <f aca="false">'📘 Facebook_KPIs'!K30</f>
        <v>✗ Por debajo</v>
      </c>
      <c r="N30" s="68" t="str">
        <f aca="false">'📘 Facebook_KPIs'!L30</f>
        <v>✓ Cumple</v>
      </c>
    </row>
    <row r="31" customFormat="false" ht="15" hidden="false" customHeight="true" outlineLevel="0" collapsed="false">
      <c r="A31" s="104" t="s">
        <v>515</v>
      </c>
      <c r="B31" s="66" t="n">
        <v>2023</v>
      </c>
      <c r="C31" s="67" t="s">
        <v>333</v>
      </c>
      <c r="D31" s="66" t="s">
        <v>488</v>
      </c>
      <c r="E31" s="68" t="n">
        <f aca="false">'📘 Facebook_KPIs'!C31</f>
        <v>2911</v>
      </c>
      <c r="F31" s="68" t="n">
        <f aca="false">'📘 Facebook_KPIs'!D31</f>
        <v>1123</v>
      </c>
      <c r="G31" s="68" t="n">
        <f aca="false">'📘 Facebook_KPIs'!E31</f>
        <v>136</v>
      </c>
      <c r="H31" s="68" t="n">
        <f aca="false">'📘 Facebook_KPIs'!F31</f>
        <v>20</v>
      </c>
      <c r="I31" s="68" t="n">
        <f aca="false">'📘 Facebook_KPIs'!G31</f>
        <v>2</v>
      </c>
      <c r="J31" s="68" t="n">
        <f aca="false">'📘 Facebook_KPIs'!H31</f>
        <v>2</v>
      </c>
      <c r="K31" s="64" t="n">
        <f aca="false">'📘 Facebook_KPIs'!I31</f>
        <v>0.046719340432841</v>
      </c>
      <c r="L31" s="64" t="n">
        <f aca="false">'📘 Facebook_KPIs'!J31</f>
        <v>0.147058823529412</v>
      </c>
      <c r="M31" s="68" t="str">
        <f aca="false">'📘 Facebook_KPIs'!K31</f>
        <v>✗ Por debajo</v>
      </c>
      <c r="N31" s="68" t="str">
        <f aca="false">'📘 Facebook_KPIs'!L31</f>
        <v>✓ Cumple</v>
      </c>
    </row>
    <row r="32" customFormat="false" ht="15" hidden="false" customHeight="true" outlineLevel="0" collapsed="false">
      <c r="A32" s="104" t="s">
        <v>516</v>
      </c>
      <c r="B32" s="60" t="n">
        <v>2023</v>
      </c>
      <c r="C32" s="61" t="s">
        <v>65</v>
      </c>
      <c r="D32" s="60" t="s">
        <v>488</v>
      </c>
      <c r="E32" s="68" t="n">
        <f aca="false">'📘 Facebook_KPIs'!C32</f>
        <v>2939</v>
      </c>
      <c r="F32" s="68" t="n">
        <f aca="false">'📘 Facebook_KPIs'!D32</f>
        <v>398</v>
      </c>
      <c r="G32" s="68" t="n">
        <f aca="false">'📘 Facebook_KPIs'!E32</f>
        <v>203</v>
      </c>
      <c r="H32" s="68" t="n">
        <f aca="false">'📘 Facebook_KPIs'!F32</f>
        <v>9</v>
      </c>
      <c r="I32" s="68" t="n">
        <f aca="false">'📘 Facebook_KPIs'!G32</f>
        <v>5</v>
      </c>
      <c r="J32" s="68" t="n">
        <f aca="false">'📘 Facebook_KPIs'!H32</f>
        <v>5</v>
      </c>
      <c r="K32" s="64" t="n">
        <f aca="false">'📘 Facebook_KPIs'!I32</f>
        <v>0.0690711126233413</v>
      </c>
      <c r="L32" s="64" t="n">
        <f aca="false">'📘 Facebook_KPIs'!J32</f>
        <v>0.0443349753694581</v>
      </c>
      <c r="M32" s="68" t="str">
        <f aca="false">'📘 Facebook_KPIs'!K32</f>
        <v>✗ Por debajo</v>
      </c>
      <c r="N32" s="68" t="str">
        <f aca="false">'📘 Facebook_KPIs'!L32</f>
        <v>✗ Por debajo</v>
      </c>
    </row>
    <row r="33" customFormat="false" ht="15" hidden="false" customHeight="true" outlineLevel="0" collapsed="false">
      <c r="A33" s="104" t="s">
        <v>517</v>
      </c>
      <c r="B33" s="66" t="n">
        <v>2023</v>
      </c>
      <c r="C33" s="67" t="s">
        <v>108</v>
      </c>
      <c r="D33" s="66" t="s">
        <v>488</v>
      </c>
      <c r="E33" s="68" t="n">
        <f aca="false">'📘 Facebook_KPIs'!C33</f>
        <v>2957</v>
      </c>
      <c r="F33" s="68" t="n">
        <f aca="false">'📘 Facebook_KPIs'!D33</f>
        <v>688</v>
      </c>
      <c r="G33" s="68" t="n">
        <f aca="false">'📘 Facebook_KPIs'!E33</f>
        <v>144</v>
      </c>
      <c r="H33" s="68" t="n">
        <f aca="false">'📘 Facebook_KPIs'!F33</f>
        <v>9</v>
      </c>
      <c r="I33" s="68" t="n">
        <f aca="false">'📘 Facebook_KPIs'!G33</f>
        <v>4</v>
      </c>
      <c r="J33" s="68" t="n">
        <f aca="false">'📘 Facebook_KPIs'!H33</f>
        <v>4</v>
      </c>
      <c r="K33" s="64" t="n">
        <f aca="false">'📘 Facebook_KPIs'!I33</f>
        <v>0.0486980047345282</v>
      </c>
      <c r="L33" s="64" t="n">
        <f aca="false">'📘 Facebook_KPIs'!J33</f>
        <v>0.0625</v>
      </c>
      <c r="M33" s="68" t="str">
        <f aca="false">'📘 Facebook_KPIs'!K33</f>
        <v>✗ Por debajo</v>
      </c>
      <c r="N33" s="68" t="str">
        <f aca="false">'📘 Facebook_KPIs'!L33</f>
        <v>✗ Por debajo</v>
      </c>
    </row>
    <row r="34" customFormat="false" ht="15" hidden="false" customHeight="true" outlineLevel="0" collapsed="false">
      <c r="A34" s="104" t="s">
        <v>518</v>
      </c>
      <c r="B34" s="60" t="n">
        <v>2023</v>
      </c>
      <c r="C34" s="61" t="s">
        <v>137</v>
      </c>
      <c r="D34" s="60" t="s">
        <v>488</v>
      </c>
      <c r="E34" s="68" t="n">
        <f aca="false">'📘 Facebook_KPIs'!C34</f>
        <v>2957</v>
      </c>
      <c r="F34" s="68" t="n">
        <f aca="false">'📘 Facebook_KPIs'!D34</f>
        <v>850</v>
      </c>
      <c r="G34" s="68" t="n">
        <f aca="false">'📘 Facebook_KPIs'!E34</f>
        <v>213</v>
      </c>
      <c r="H34" s="68" t="n">
        <f aca="false">'📘 Facebook_KPIs'!F34</f>
        <v>17</v>
      </c>
      <c r="I34" s="68" t="n">
        <f aca="false">'📘 Facebook_KPIs'!G34</f>
        <v>3</v>
      </c>
      <c r="J34" s="68" t="n">
        <f aca="false">'📘 Facebook_KPIs'!H34</f>
        <v>3</v>
      </c>
      <c r="K34" s="64" t="n">
        <f aca="false">'📘 Facebook_KPIs'!I34</f>
        <v>0.0720324653364897</v>
      </c>
      <c r="L34" s="64" t="n">
        <f aca="false">'📘 Facebook_KPIs'!J34</f>
        <v>0.07981220657277</v>
      </c>
      <c r="M34" s="68" t="str">
        <f aca="false">'📘 Facebook_KPIs'!K34</f>
        <v>✗ Por debajo</v>
      </c>
      <c r="N34" s="68" t="str">
        <f aca="false">'📘 Facebook_KPIs'!L34</f>
        <v>✓ Cumple</v>
      </c>
    </row>
    <row r="35" customFormat="false" ht="15" hidden="false" customHeight="true" outlineLevel="0" collapsed="false">
      <c r="A35" s="104" t="s">
        <v>519</v>
      </c>
      <c r="B35" s="66" t="n">
        <v>2023</v>
      </c>
      <c r="C35" s="67" t="s">
        <v>166</v>
      </c>
      <c r="D35" s="66" t="s">
        <v>488</v>
      </c>
      <c r="E35" s="68" t="n">
        <f aca="false">'📘 Facebook_KPIs'!C35</f>
        <v>2796</v>
      </c>
      <c r="F35" s="68" t="n">
        <f aca="false">'📘 Facebook_KPIs'!D35</f>
        <v>1113</v>
      </c>
      <c r="G35" s="68" t="n">
        <f aca="false">'📘 Facebook_KPIs'!E35</f>
        <v>285</v>
      </c>
      <c r="H35" s="68" t="n">
        <f aca="false">'📘 Facebook_KPIs'!F35</f>
        <v>13</v>
      </c>
      <c r="I35" s="68" t="n">
        <f aca="false">'📘 Facebook_KPIs'!G35</f>
        <v>3</v>
      </c>
      <c r="J35" s="68" t="n">
        <f aca="false">'📘 Facebook_KPIs'!H35</f>
        <v>3</v>
      </c>
      <c r="K35" s="64" t="n">
        <f aca="false">'📘 Facebook_KPIs'!I35</f>
        <v>0.101931330472103</v>
      </c>
      <c r="L35" s="64" t="n">
        <f aca="false">'📘 Facebook_KPIs'!J35</f>
        <v>0.0456140350877193</v>
      </c>
      <c r="M35" s="68" t="str">
        <f aca="false">'📘 Facebook_KPIs'!K35</f>
        <v>✗ Por debajo</v>
      </c>
      <c r="N35" s="68" t="str">
        <f aca="false">'📘 Facebook_KPIs'!L35</f>
        <v>✗ Por debajo</v>
      </c>
    </row>
    <row r="36" customFormat="false" ht="15" hidden="false" customHeight="true" outlineLevel="0" collapsed="false">
      <c r="A36" s="104" t="s">
        <v>520</v>
      </c>
      <c r="B36" s="60" t="n">
        <v>2023</v>
      </c>
      <c r="C36" s="61" t="s">
        <v>334</v>
      </c>
      <c r="D36" s="60" t="s">
        <v>488</v>
      </c>
      <c r="E36" s="68" t="n">
        <f aca="false">'📘 Facebook_KPIs'!C36</f>
        <v>2796</v>
      </c>
      <c r="F36" s="68" t="n">
        <f aca="false">'📘 Facebook_KPIs'!D36</f>
        <v>1085</v>
      </c>
      <c r="G36" s="68" t="n">
        <f aca="false">'📘 Facebook_KPIs'!E36</f>
        <v>23</v>
      </c>
      <c r="H36" s="68" t="n">
        <f aca="false">'📘 Facebook_KPIs'!F36</f>
        <v>4</v>
      </c>
      <c r="I36" s="68" t="n">
        <f aca="false">'📘 Facebook_KPIs'!G36</f>
        <v>1</v>
      </c>
      <c r="J36" s="68" t="n">
        <f aca="false">'📘 Facebook_KPIs'!H36</f>
        <v>1</v>
      </c>
      <c r="K36" s="64" t="n">
        <f aca="false">'📘 Facebook_KPIs'!I36</f>
        <v>0.00822603719599428</v>
      </c>
      <c r="L36" s="64" t="n">
        <f aca="false">'📘 Facebook_KPIs'!J36</f>
        <v>0.173913043478261</v>
      </c>
      <c r="M36" s="68" t="str">
        <f aca="false">'📘 Facebook_KPIs'!K36</f>
        <v>✗ Por debajo</v>
      </c>
      <c r="N36" s="68" t="str">
        <f aca="false">'📘 Facebook_KPIs'!L36</f>
        <v>✓ Cumple</v>
      </c>
    </row>
    <row r="37" customFormat="false" ht="15" hidden="false" customHeight="true" outlineLevel="0" collapsed="false">
      <c r="A37" s="104" t="s">
        <v>521</v>
      </c>
      <c r="B37" s="66" t="n">
        <v>2023</v>
      </c>
      <c r="C37" s="67" t="s">
        <v>218</v>
      </c>
      <c r="D37" s="66" t="s">
        <v>488</v>
      </c>
      <c r="E37" s="68" t="n">
        <f aca="false">'📘 Facebook_KPIs'!C37</f>
        <v>2801</v>
      </c>
      <c r="F37" s="68" t="n">
        <f aca="false">'📘 Facebook_KPIs'!D37</f>
        <v>1641</v>
      </c>
      <c r="G37" s="68" t="n">
        <f aca="false">'📘 Facebook_KPIs'!E37</f>
        <v>64</v>
      </c>
      <c r="H37" s="68" t="n">
        <f aca="false">'📘 Facebook_KPIs'!F37</f>
        <v>5</v>
      </c>
      <c r="I37" s="68" t="n">
        <f aca="false">'📘 Facebook_KPIs'!G37</f>
        <v>1</v>
      </c>
      <c r="J37" s="68" t="n">
        <f aca="false">'📘 Facebook_KPIs'!H37</f>
        <v>1</v>
      </c>
      <c r="K37" s="64" t="n">
        <f aca="false">'📘 Facebook_KPIs'!I37</f>
        <v>0.0228489825062478</v>
      </c>
      <c r="L37" s="64" t="n">
        <f aca="false">'📘 Facebook_KPIs'!J37</f>
        <v>0.078125</v>
      </c>
      <c r="M37" s="68" t="str">
        <f aca="false">'📘 Facebook_KPIs'!K37</f>
        <v>✗ Por debajo</v>
      </c>
      <c r="N37" s="68" t="str">
        <f aca="false">'📘 Facebook_KPIs'!L37</f>
        <v>✓ Cumple</v>
      </c>
    </row>
    <row r="38" customFormat="false" ht="15" hidden="false" customHeight="true" outlineLevel="0" collapsed="false">
      <c r="A38" s="104" t="s">
        <v>522</v>
      </c>
      <c r="B38" s="60" t="n">
        <v>2023</v>
      </c>
      <c r="C38" s="61" t="s">
        <v>244</v>
      </c>
      <c r="D38" s="60" t="s">
        <v>488</v>
      </c>
      <c r="E38" s="68" t="n">
        <f aca="false">'📘 Facebook_KPIs'!C38</f>
        <v>2801</v>
      </c>
      <c r="F38" s="68" t="n">
        <f aca="false">'📘 Facebook_KPIs'!D38</f>
        <v>433</v>
      </c>
      <c r="G38" s="68" t="n">
        <f aca="false">'📘 Facebook_KPIs'!E38</f>
        <v>0</v>
      </c>
      <c r="H38" s="68" t="n">
        <f aca="false">'📘 Facebook_KPIs'!F38</f>
        <v>0</v>
      </c>
      <c r="I38" s="68" t="n">
        <f aca="false">'📘 Facebook_KPIs'!G38</f>
        <v>0</v>
      </c>
      <c r="J38" s="68" t="n">
        <f aca="false">'📘 Facebook_KPIs'!H38</f>
        <v>0</v>
      </c>
      <c r="K38" s="64" t="n">
        <f aca="false">'📘 Facebook_KPIs'!I38</f>
        <v>0</v>
      </c>
      <c r="L38" s="64" t="n">
        <f aca="false">'📘 Facebook_KPIs'!J38</f>
        <v>0</v>
      </c>
      <c r="M38" s="68" t="str">
        <f aca="false">'📘 Facebook_KPIs'!K38</f>
        <v>✗ Por debajo</v>
      </c>
      <c r="N38" s="68" t="str">
        <f aca="false">'📘 Facebook_KPIs'!L38</f>
        <v/>
      </c>
    </row>
    <row r="39" customFormat="false" ht="15" hidden="false" customHeight="true" outlineLevel="0" collapsed="false">
      <c r="A39" s="104" t="s">
        <v>523</v>
      </c>
      <c r="B39" s="66" t="n">
        <v>2023</v>
      </c>
      <c r="C39" s="67" t="s">
        <v>270</v>
      </c>
      <c r="D39" s="66" t="s">
        <v>488</v>
      </c>
      <c r="E39" s="68" t="n">
        <f aca="false">'📘 Facebook_KPIs'!C39</f>
        <v>3040</v>
      </c>
      <c r="F39" s="68" t="n">
        <f aca="false">'📘 Facebook_KPIs'!D39</f>
        <v>1012</v>
      </c>
      <c r="G39" s="68" t="n">
        <f aca="false">'📘 Facebook_KPIs'!E39</f>
        <v>1012</v>
      </c>
      <c r="H39" s="68" t="n">
        <f aca="false">'📘 Facebook_KPIs'!F39</f>
        <v>96</v>
      </c>
      <c r="I39" s="68" t="n">
        <f aca="false">'📘 Facebook_KPIs'!G39</f>
        <v>3</v>
      </c>
      <c r="J39" s="68" t="n">
        <f aca="false">'📘 Facebook_KPIs'!H39</f>
        <v>2</v>
      </c>
      <c r="K39" s="64" t="n">
        <f aca="false">'📘 Facebook_KPIs'!I39</f>
        <v>0.332894736842105</v>
      </c>
      <c r="L39" s="64" t="n">
        <f aca="false">'📘 Facebook_KPIs'!J39</f>
        <v>0.0948616600790514</v>
      </c>
      <c r="M39" s="68" t="str">
        <f aca="false">'📘 Facebook_KPIs'!K39</f>
        <v>✓ Cumple</v>
      </c>
      <c r="N39" s="68" t="str">
        <f aca="false">'📘 Facebook_KPIs'!L39</f>
        <v>✓ Cumple</v>
      </c>
    </row>
    <row r="40" customFormat="false" ht="15" hidden="false" customHeight="true" outlineLevel="0" collapsed="false">
      <c r="A40" s="104" t="s">
        <v>524</v>
      </c>
      <c r="B40" s="60" t="n">
        <v>2024</v>
      </c>
      <c r="C40" s="61" t="s">
        <v>330</v>
      </c>
      <c r="D40" s="60" t="s">
        <v>488</v>
      </c>
      <c r="E40" s="68" t="n">
        <f aca="false">'📘 Facebook_KPIs'!C40</f>
        <v>3052</v>
      </c>
      <c r="F40" s="68" t="n">
        <f aca="false">'📘 Facebook_KPIs'!D40</f>
        <v>0</v>
      </c>
      <c r="G40" s="68" t="n">
        <f aca="false">'📘 Facebook_KPIs'!E40</f>
        <v>770</v>
      </c>
      <c r="H40" s="68" t="n">
        <f aca="false">'📘 Facebook_KPIs'!F40</f>
        <v>15</v>
      </c>
      <c r="I40" s="68" t="n">
        <f aca="false">'📘 Facebook_KPIs'!G40</f>
        <v>13</v>
      </c>
      <c r="J40" s="68" t="n">
        <f aca="false">'📘 Facebook_KPIs'!H40</f>
        <v>1</v>
      </c>
      <c r="K40" s="64" t="n">
        <f aca="false">'📘 Facebook_KPIs'!I40</f>
        <v>0.252293577981651</v>
      </c>
      <c r="L40" s="64" t="n">
        <f aca="false">'📘 Facebook_KPIs'!J40</f>
        <v>0.0194805194805195</v>
      </c>
      <c r="M40" s="68" t="str">
        <f aca="false">'📘 Facebook_KPIs'!K40</f>
        <v>✓ Cumple</v>
      </c>
      <c r="N40" s="68" t="str">
        <f aca="false">'📘 Facebook_KPIs'!L40</f>
        <v>✗ Por debajo</v>
      </c>
    </row>
    <row r="41" customFormat="false" ht="15" hidden="false" customHeight="true" outlineLevel="0" collapsed="false">
      <c r="A41" s="104" t="s">
        <v>525</v>
      </c>
      <c r="B41" s="66" t="n">
        <v>2024</v>
      </c>
      <c r="C41" s="67" t="s">
        <v>331</v>
      </c>
      <c r="D41" s="66" t="s">
        <v>488</v>
      </c>
      <c r="E41" s="68" t="n">
        <f aca="false">'📘 Facebook_KPIs'!C41</f>
        <v>3066</v>
      </c>
      <c r="F41" s="68" t="n">
        <f aca="false">'📘 Facebook_KPIs'!D41</f>
        <v>2759</v>
      </c>
      <c r="G41" s="68" t="n">
        <f aca="false">'📘 Facebook_KPIs'!E41</f>
        <v>1294</v>
      </c>
      <c r="H41" s="68" t="n">
        <f aca="false">'📘 Facebook_KPIs'!F41</f>
        <v>147</v>
      </c>
      <c r="I41" s="68" t="n">
        <f aca="false">'📘 Facebook_KPIs'!G41</f>
        <v>14</v>
      </c>
      <c r="J41" s="68" t="n">
        <f aca="false">'📘 Facebook_KPIs'!H41</f>
        <v>2</v>
      </c>
      <c r="K41" s="64" t="n">
        <f aca="false">'📘 Facebook_KPIs'!I41</f>
        <v>0.42204827136334</v>
      </c>
      <c r="L41" s="64" t="n">
        <f aca="false">'📘 Facebook_KPIs'!J41</f>
        <v>0.113601236476043</v>
      </c>
      <c r="M41" s="68" t="str">
        <f aca="false">'📘 Facebook_KPIs'!K41</f>
        <v>✓ Cumple</v>
      </c>
      <c r="N41" s="68" t="str">
        <f aca="false">'📘 Facebook_KPIs'!L41</f>
        <v>✓ Cumple</v>
      </c>
    </row>
    <row r="42" customFormat="false" ht="15" hidden="false" customHeight="true" outlineLevel="0" collapsed="false">
      <c r="A42" s="104" t="s">
        <v>526</v>
      </c>
      <c r="B42" s="60" t="n">
        <v>2024</v>
      </c>
      <c r="C42" s="61" t="s">
        <v>332</v>
      </c>
      <c r="D42" s="60" t="s">
        <v>488</v>
      </c>
      <c r="E42" s="68" t="n">
        <f aca="false">'📘 Facebook_KPIs'!C42</f>
        <v>3085</v>
      </c>
      <c r="F42" s="68" t="n">
        <f aca="false">'📘 Facebook_KPIs'!D42</f>
        <v>2759</v>
      </c>
      <c r="G42" s="68" t="n">
        <f aca="false">'📘 Facebook_KPIs'!E42</f>
        <v>1119</v>
      </c>
      <c r="H42" s="68" t="n">
        <f aca="false">'📘 Facebook_KPIs'!F42</f>
        <v>72</v>
      </c>
      <c r="I42" s="68" t="n">
        <f aca="false">'📘 Facebook_KPIs'!G42</f>
        <v>24</v>
      </c>
      <c r="J42" s="68" t="n">
        <f aca="false">'📘 Facebook_KPIs'!H42</f>
        <v>1</v>
      </c>
      <c r="K42" s="64" t="n">
        <f aca="false">'📘 Facebook_KPIs'!I42</f>
        <v>0.362722852512156</v>
      </c>
      <c r="L42" s="64" t="n">
        <f aca="false">'📘 Facebook_KPIs'!J42</f>
        <v>0.064343163538874</v>
      </c>
      <c r="M42" s="68" t="str">
        <f aca="false">'📘 Facebook_KPIs'!K42</f>
        <v>✓ Cumple</v>
      </c>
      <c r="N42" s="68" t="str">
        <f aca="false">'📘 Facebook_KPIs'!L42</f>
        <v>✗ Por debajo</v>
      </c>
    </row>
    <row r="43" customFormat="false" ht="15" hidden="false" customHeight="true" outlineLevel="0" collapsed="false">
      <c r="A43" s="104" t="s">
        <v>527</v>
      </c>
      <c r="B43" s="66" t="n">
        <v>2024</v>
      </c>
      <c r="C43" s="67" t="s">
        <v>333</v>
      </c>
      <c r="D43" s="66" t="s">
        <v>488</v>
      </c>
      <c r="E43" s="68" t="n">
        <f aca="false">'📘 Facebook_KPIs'!C43</f>
        <v>3090</v>
      </c>
      <c r="F43" s="68" t="n">
        <f aca="false">'📘 Facebook_KPIs'!D43</f>
        <v>1123</v>
      </c>
      <c r="G43" s="68" t="n">
        <f aca="false">'📘 Facebook_KPIs'!E43</f>
        <v>1031</v>
      </c>
      <c r="H43" s="68" t="n">
        <f aca="false">'📘 Facebook_KPIs'!F43</f>
        <v>52</v>
      </c>
      <c r="I43" s="68" t="n">
        <f aca="false">'📘 Facebook_KPIs'!G43</f>
        <v>10</v>
      </c>
      <c r="J43" s="68" t="n">
        <f aca="false">'📘 Facebook_KPIs'!H43</f>
        <v>1</v>
      </c>
      <c r="K43" s="64" t="n">
        <f aca="false">'📘 Facebook_KPIs'!I43</f>
        <v>0.333656957928803</v>
      </c>
      <c r="L43" s="64" t="n">
        <f aca="false">'📘 Facebook_KPIs'!J43</f>
        <v>0.0504364694471387</v>
      </c>
      <c r="M43" s="68" t="str">
        <f aca="false">'📘 Facebook_KPIs'!K43</f>
        <v>✓ Cumple</v>
      </c>
      <c r="N43" s="68" t="str">
        <f aca="false">'📘 Facebook_KPIs'!L43</f>
        <v>✗ Por debajo</v>
      </c>
    </row>
    <row r="44" customFormat="false" ht="15" hidden="false" customHeight="true" outlineLevel="0" collapsed="false">
      <c r="A44" s="104" t="s">
        <v>528</v>
      </c>
      <c r="B44" s="60" t="n">
        <v>2024</v>
      </c>
      <c r="C44" s="61" t="s">
        <v>65</v>
      </c>
      <c r="D44" s="60" t="s">
        <v>488</v>
      </c>
      <c r="E44" s="68" t="n">
        <f aca="false">'📘 Facebook_KPIs'!C44</f>
        <v>3097</v>
      </c>
      <c r="F44" s="68" t="n">
        <f aca="false">'📘 Facebook_KPIs'!D44</f>
        <v>2237</v>
      </c>
      <c r="G44" s="68" t="n">
        <f aca="false">'📘 Facebook_KPIs'!E44</f>
        <v>496</v>
      </c>
      <c r="H44" s="68" t="n">
        <f aca="false">'📘 Facebook_KPIs'!F44</f>
        <v>92</v>
      </c>
      <c r="I44" s="68" t="n">
        <f aca="false">'📘 Facebook_KPIs'!G44</f>
        <v>7</v>
      </c>
      <c r="J44" s="68" t="n">
        <f aca="false">'📘 Facebook_KPIs'!H44</f>
        <v>3</v>
      </c>
      <c r="K44" s="64" t="n">
        <f aca="false">'📘 Facebook_KPIs'!I44</f>
        <v>0.160154988698741</v>
      </c>
      <c r="L44" s="64" t="n">
        <f aca="false">'📘 Facebook_KPIs'!J44</f>
        <v>0.185483870967742</v>
      </c>
      <c r="M44" s="68" t="str">
        <f aca="false">'📘 Facebook_KPIs'!K44</f>
        <v>✗ Por debajo</v>
      </c>
      <c r="N44" s="68" t="str">
        <f aca="false">'📘 Facebook_KPIs'!L44</f>
        <v>✓ Cumple</v>
      </c>
    </row>
    <row r="45" customFormat="false" ht="15" hidden="false" customHeight="true" outlineLevel="0" collapsed="false">
      <c r="A45" s="104" t="s">
        <v>529</v>
      </c>
      <c r="B45" s="66" t="n">
        <v>2024</v>
      </c>
      <c r="C45" s="67" t="s">
        <v>108</v>
      </c>
      <c r="D45" s="66" t="s">
        <v>488</v>
      </c>
      <c r="E45" s="68" t="n">
        <f aca="false">'📘 Facebook_KPIs'!C45</f>
        <v>3108</v>
      </c>
      <c r="F45" s="68" t="n">
        <f aca="false">'📘 Facebook_KPIs'!D45</f>
        <v>401</v>
      </c>
      <c r="G45" s="68" t="n">
        <f aca="false">'📘 Facebook_KPIs'!E45</f>
        <v>34</v>
      </c>
      <c r="H45" s="68" t="n">
        <f aca="false">'📘 Facebook_KPIs'!F45</f>
        <v>11</v>
      </c>
      <c r="I45" s="68" t="n">
        <f aca="false">'📘 Facebook_KPIs'!G45</f>
        <v>1</v>
      </c>
      <c r="J45" s="68" t="n">
        <f aca="false">'📘 Facebook_KPIs'!H45</f>
        <v>1</v>
      </c>
      <c r="K45" s="64" t="n">
        <f aca="false">'📘 Facebook_KPIs'!I45</f>
        <v>0.0109395109395109</v>
      </c>
      <c r="L45" s="64" t="n">
        <f aca="false">'📘 Facebook_KPIs'!J45</f>
        <v>0.323529411764706</v>
      </c>
      <c r="M45" s="68" t="str">
        <f aca="false">'📘 Facebook_KPIs'!K45</f>
        <v>✗ Por debajo</v>
      </c>
      <c r="N45" s="68" t="str">
        <f aca="false">'📘 Facebook_KPIs'!L45</f>
        <v>✓ Cumple</v>
      </c>
    </row>
    <row r="46" customFormat="false" ht="15" hidden="false" customHeight="true" outlineLevel="0" collapsed="false">
      <c r="A46" s="104" t="s">
        <v>530</v>
      </c>
      <c r="B46" s="60" t="n">
        <v>2024</v>
      </c>
      <c r="C46" s="61" t="s">
        <v>137</v>
      </c>
      <c r="D46" s="60" t="s">
        <v>488</v>
      </c>
      <c r="E46" s="68" t="n">
        <f aca="false">'📘 Facebook_KPIs'!C46</f>
        <v>3108</v>
      </c>
      <c r="F46" s="68" t="n">
        <f aca="false">'📘 Facebook_KPIs'!D46</f>
        <v>376</v>
      </c>
      <c r="G46" s="68" t="n">
        <f aca="false">'📘 Facebook_KPIs'!E46</f>
        <v>76</v>
      </c>
      <c r="H46" s="68" t="n">
        <f aca="false">'📘 Facebook_KPIs'!F46</f>
        <v>13</v>
      </c>
      <c r="I46" s="68" t="n">
        <f aca="false">'📘 Facebook_KPIs'!G46</f>
        <v>3</v>
      </c>
      <c r="J46" s="68" t="n">
        <f aca="false">'📘 Facebook_KPIs'!H46</f>
        <v>3</v>
      </c>
      <c r="K46" s="64" t="n">
        <f aca="false">'📘 Facebook_KPIs'!I46</f>
        <v>0.0244530244530245</v>
      </c>
      <c r="L46" s="64" t="n">
        <f aca="false">'📘 Facebook_KPIs'!J46</f>
        <v>0.171052631578947</v>
      </c>
      <c r="M46" s="68" t="str">
        <f aca="false">'📘 Facebook_KPIs'!K46</f>
        <v>✗ Por debajo</v>
      </c>
      <c r="N46" s="68" t="str">
        <f aca="false">'📘 Facebook_KPIs'!L46</f>
        <v>✓ Cumple</v>
      </c>
    </row>
    <row r="47" customFormat="false" ht="15" hidden="false" customHeight="true" outlineLevel="0" collapsed="false">
      <c r="A47" s="104" t="s">
        <v>531</v>
      </c>
      <c r="B47" s="66" t="n">
        <v>2024</v>
      </c>
      <c r="C47" s="67" t="s">
        <v>166</v>
      </c>
      <c r="D47" s="66" t="s">
        <v>488</v>
      </c>
      <c r="E47" s="68" t="n">
        <f aca="false">'📘 Facebook_KPIs'!C47</f>
        <v>3114</v>
      </c>
      <c r="F47" s="68" t="n">
        <f aca="false">'📘 Facebook_KPIs'!D47</f>
        <v>312</v>
      </c>
      <c r="G47" s="68" t="n">
        <f aca="false">'📘 Facebook_KPIs'!E47</f>
        <v>249</v>
      </c>
      <c r="H47" s="68" t="n">
        <f aca="false">'📘 Facebook_KPIs'!F47</f>
        <v>60</v>
      </c>
      <c r="I47" s="68" t="n">
        <f aca="false">'📘 Facebook_KPIs'!G47</f>
        <v>6</v>
      </c>
      <c r="J47" s="68" t="n">
        <f aca="false">'📘 Facebook_KPIs'!H47</f>
        <v>1</v>
      </c>
      <c r="K47" s="64" t="n">
        <f aca="false">'📘 Facebook_KPIs'!I47</f>
        <v>0.0799614643545279</v>
      </c>
      <c r="L47" s="64" t="n">
        <f aca="false">'📘 Facebook_KPIs'!J47</f>
        <v>0.240963855421687</v>
      </c>
      <c r="M47" s="68" t="str">
        <f aca="false">'📘 Facebook_KPIs'!K47</f>
        <v>✗ Por debajo</v>
      </c>
      <c r="N47" s="68" t="str">
        <f aca="false">'📘 Facebook_KPIs'!L47</f>
        <v>✓ Cumple</v>
      </c>
    </row>
    <row r="48" customFormat="false" ht="15" hidden="false" customHeight="true" outlineLevel="0" collapsed="false">
      <c r="A48" s="104" t="s">
        <v>532</v>
      </c>
      <c r="B48" s="60" t="n">
        <v>2024</v>
      </c>
      <c r="C48" s="61" t="s">
        <v>334</v>
      </c>
      <c r="D48" s="60" t="s">
        <v>488</v>
      </c>
      <c r="E48" s="68" t="n">
        <f aca="false">'📘 Facebook_KPIs'!C48</f>
        <v>3120</v>
      </c>
      <c r="F48" s="68" t="n">
        <f aca="false">'📘 Facebook_KPIs'!D48</f>
        <v>979</v>
      </c>
      <c r="G48" s="68" t="n">
        <f aca="false">'📘 Facebook_KPIs'!E48</f>
        <v>939</v>
      </c>
      <c r="H48" s="68" t="n">
        <f aca="false">'📘 Facebook_KPIs'!F48</f>
        <v>24</v>
      </c>
      <c r="I48" s="68" t="n">
        <f aca="false">'📘 Facebook_KPIs'!G48</f>
        <v>17</v>
      </c>
      <c r="J48" s="68" t="n">
        <f aca="false">'📘 Facebook_KPIs'!H48</f>
        <v>1</v>
      </c>
      <c r="K48" s="64" t="n">
        <f aca="false">'📘 Facebook_KPIs'!I48</f>
        <v>0.300961538461538</v>
      </c>
      <c r="L48" s="64" t="n">
        <f aca="false">'📘 Facebook_KPIs'!J48</f>
        <v>0.0255591054313099</v>
      </c>
      <c r="M48" s="68" t="str">
        <f aca="false">'📘 Facebook_KPIs'!K48</f>
        <v>✓ Cumple</v>
      </c>
      <c r="N48" s="68" t="str">
        <f aca="false">'📘 Facebook_KPIs'!L48</f>
        <v>✗ Por debajo</v>
      </c>
    </row>
    <row r="49" customFormat="false" ht="15" hidden="false" customHeight="true" outlineLevel="0" collapsed="false">
      <c r="A49" s="104" t="s">
        <v>533</v>
      </c>
      <c r="B49" s="66" t="n">
        <v>2024</v>
      </c>
      <c r="C49" s="67" t="s">
        <v>218</v>
      </c>
      <c r="D49" s="66" t="s">
        <v>488</v>
      </c>
      <c r="E49" s="68" t="n">
        <f aca="false">'📘 Facebook_KPIs'!C49</f>
        <v>3120</v>
      </c>
      <c r="F49" s="68" t="n">
        <f aca="false">'📘 Facebook_KPIs'!D49</f>
        <v>1846</v>
      </c>
      <c r="G49" s="68" t="n">
        <f aca="false">'📘 Facebook_KPIs'!E49</f>
        <v>502</v>
      </c>
      <c r="H49" s="68" t="n">
        <f aca="false">'📘 Facebook_KPIs'!F49</f>
        <v>17</v>
      </c>
      <c r="I49" s="68" t="n">
        <f aca="false">'📘 Facebook_KPIs'!G49</f>
        <v>6</v>
      </c>
      <c r="J49" s="68" t="n">
        <f aca="false">'📘 Facebook_KPIs'!H49</f>
        <v>1</v>
      </c>
      <c r="K49" s="64" t="n">
        <f aca="false">'📘 Facebook_KPIs'!I49</f>
        <v>0.160897435897436</v>
      </c>
      <c r="L49" s="64" t="n">
        <f aca="false">'📘 Facebook_KPIs'!J49</f>
        <v>0.0338645418326693</v>
      </c>
      <c r="M49" s="68" t="str">
        <f aca="false">'📘 Facebook_KPIs'!K49</f>
        <v>✗ Por debajo</v>
      </c>
      <c r="N49" s="68" t="str">
        <f aca="false">'📘 Facebook_KPIs'!L49</f>
        <v>✗ Por debajo</v>
      </c>
    </row>
    <row r="50" customFormat="false" ht="15" hidden="false" customHeight="true" outlineLevel="0" collapsed="false">
      <c r="A50" s="104" t="s">
        <v>534</v>
      </c>
      <c r="B50" s="60" t="n">
        <v>2024</v>
      </c>
      <c r="C50" s="61" t="s">
        <v>244</v>
      </c>
      <c r="D50" s="60" t="s">
        <v>488</v>
      </c>
      <c r="E50" s="68" t="n">
        <f aca="false">'📘 Facebook_KPIs'!C50</f>
        <v>3120</v>
      </c>
      <c r="F50" s="68" t="n">
        <f aca="false">'📘 Facebook_KPIs'!D50</f>
        <v>1088</v>
      </c>
      <c r="G50" s="68" t="n">
        <f aca="false">'📘 Facebook_KPIs'!E50</f>
        <v>134</v>
      </c>
      <c r="H50" s="68" t="n">
        <f aca="false">'📘 Facebook_KPIs'!F50</f>
        <v>5</v>
      </c>
      <c r="I50" s="68" t="n">
        <f aca="false">'📘 Facebook_KPIs'!G50</f>
        <v>8</v>
      </c>
      <c r="J50" s="68" t="n">
        <f aca="false">'📘 Facebook_KPIs'!H50</f>
        <v>0</v>
      </c>
      <c r="K50" s="64" t="n">
        <f aca="false">'📘 Facebook_KPIs'!I50</f>
        <v>0.042948717948718</v>
      </c>
      <c r="L50" s="64" t="n">
        <f aca="false">'📘 Facebook_KPIs'!J50</f>
        <v>0.0373134328358209</v>
      </c>
      <c r="M50" s="68" t="str">
        <f aca="false">'📘 Facebook_KPIs'!K50</f>
        <v>✗ Por debajo</v>
      </c>
      <c r="N50" s="68" t="str">
        <f aca="false">'📘 Facebook_KPIs'!L50</f>
        <v>✗ Por debajo</v>
      </c>
    </row>
    <row r="51" customFormat="false" ht="15" hidden="false" customHeight="true" outlineLevel="0" collapsed="false">
      <c r="A51" s="104" t="s">
        <v>535</v>
      </c>
      <c r="B51" s="66" t="n">
        <v>2024</v>
      </c>
      <c r="C51" s="67" t="s">
        <v>270</v>
      </c>
      <c r="D51" s="66" t="s">
        <v>488</v>
      </c>
      <c r="E51" s="68" t="n">
        <f aca="false">'📘 Facebook_KPIs'!C51</f>
        <v>3123</v>
      </c>
      <c r="F51" s="68" t="n">
        <f aca="false">'📘 Facebook_KPIs'!D51</f>
        <v>3326</v>
      </c>
      <c r="G51" s="68" t="n">
        <f aca="false">'📘 Facebook_KPIs'!E51</f>
        <v>577</v>
      </c>
      <c r="H51" s="68" t="n">
        <f aca="false">'📘 Facebook_KPIs'!F51</f>
        <v>57</v>
      </c>
      <c r="I51" s="68" t="n">
        <f aca="false">'📘 Facebook_KPIs'!G51</f>
        <v>6</v>
      </c>
      <c r="J51" s="68" t="n">
        <f aca="false">'📘 Facebook_KPIs'!H51</f>
        <v>1</v>
      </c>
      <c r="K51" s="64" t="n">
        <f aca="false">'📘 Facebook_KPIs'!I51</f>
        <v>0.184758245276977</v>
      </c>
      <c r="L51" s="64" t="n">
        <f aca="false">'📘 Facebook_KPIs'!J51</f>
        <v>0.098786828422877</v>
      </c>
      <c r="M51" s="68" t="str">
        <f aca="false">'📘 Facebook_KPIs'!K51</f>
        <v>✓ Cumple</v>
      </c>
      <c r="N51" s="68" t="str">
        <f aca="false">'📘 Facebook_KPIs'!L51</f>
        <v>✓ Cumple</v>
      </c>
    </row>
    <row r="52" customFormat="false" ht="15" hidden="false" customHeight="true" outlineLevel="0" collapsed="false">
      <c r="A52" s="104" t="s">
        <v>536</v>
      </c>
      <c r="B52" s="60" t="n">
        <v>2025</v>
      </c>
      <c r="C52" s="61" t="s">
        <v>330</v>
      </c>
      <c r="D52" s="60" t="s">
        <v>488</v>
      </c>
      <c r="E52" s="68" t="n">
        <f aca="false">'📘 Facebook_KPIs'!C52</f>
        <v>3124</v>
      </c>
      <c r="F52" s="68" t="n">
        <f aca="false">'📘 Facebook_KPIs'!D52</f>
        <v>1721</v>
      </c>
      <c r="G52" s="68" t="n">
        <f aca="false">'📘 Facebook_KPIs'!E52</f>
        <v>299</v>
      </c>
      <c r="H52" s="68" t="n">
        <f aca="false">'📘 Facebook_KPIs'!F52</f>
        <v>14</v>
      </c>
      <c r="I52" s="68" t="n">
        <f aca="false">'📘 Facebook_KPIs'!G52</f>
        <v>6</v>
      </c>
      <c r="J52" s="68" t="n">
        <f aca="false">'📘 Facebook_KPIs'!H52</f>
        <v>0</v>
      </c>
      <c r="K52" s="64" t="n">
        <f aca="false">'📘 Facebook_KPIs'!I52</f>
        <v>0.0957106274007682</v>
      </c>
      <c r="L52" s="64" t="n">
        <f aca="false">'📘 Facebook_KPIs'!J52</f>
        <v>0.0468227424749164</v>
      </c>
      <c r="M52" s="68" t="str">
        <f aca="false">'📘 Facebook_KPIs'!K52</f>
        <v>✗ Por debajo</v>
      </c>
      <c r="N52" s="68" t="str">
        <f aca="false">'📘 Facebook_KPIs'!L52</f>
        <v>✗ Por debajo</v>
      </c>
    </row>
    <row r="53" customFormat="false" ht="15" hidden="false" customHeight="true" outlineLevel="0" collapsed="false">
      <c r="A53" s="104" t="s">
        <v>537</v>
      </c>
      <c r="B53" s="66" t="n">
        <v>2025</v>
      </c>
      <c r="C53" s="67" t="s">
        <v>331</v>
      </c>
      <c r="D53" s="66" t="s">
        <v>488</v>
      </c>
      <c r="E53" s="68" t="n">
        <f aca="false">'📘 Facebook_KPIs'!C53</f>
        <v>3132</v>
      </c>
      <c r="F53" s="68" t="n">
        <f aca="false">'📘 Facebook_KPIs'!D53</f>
        <v>1357</v>
      </c>
      <c r="G53" s="68" t="n">
        <f aca="false">'📘 Facebook_KPIs'!E53</f>
        <v>202</v>
      </c>
      <c r="H53" s="68" t="n">
        <f aca="false">'📘 Facebook_KPIs'!F53</f>
        <v>8</v>
      </c>
      <c r="I53" s="68" t="n">
        <f aca="false">'📘 Facebook_KPIs'!G53</f>
        <v>13</v>
      </c>
      <c r="J53" s="68" t="n">
        <f aca="false">'📘 Facebook_KPIs'!H53</f>
        <v>1</v>
      </c>
      <c r="K53" s="64" t="n">
        <f aca="false">'📘 Facebook_KPIs'!I53</f>
        <v>0.0644955300127714</v>
      </c>
      <c r="L53" s="64" t="n">
        <f aca="false">'📘 Facebook_KPIs'!J53</f>
        <v>0.0396039603960396</v>
      </c>
      <c r="M53" s="68" t="str">
        <f aca="false">'📘 Facebook_KPIs'!K53</f>
        <v>✗ Por debajo</v>
      </c>
      <c r="N53" s="68" t="str">
        <f aca="false">'📘 Facebook_KPIs'!L53</f>
        <v>✗ Por debajo</v>
      </c>
    </row>
    <row r="54" customFormat="false" ht="15" hidden="false" customHeight="true" outlineLevel="0" collapsed="false">
      <c r="A54" s="104" t="s">
        <v>538</v>
      </c>
      <c r="B54" s="60" t="n">
        <v>2025</v>
      </c>
      <c r="C54" s="61" t="s">
        <v>332</v>
      </c>
      <c r="D54" s="60" t="s">
        <v>488</v>
      </c>
      <c r="E54" s="68" t="n">
        <f aca="false">'📘 Facebook_KPIs'!C54</f>
        <v>3143</v>
      </c>
      <c r="F54" s="68" t="n">
        <f aca="false">'📘 Facebook_KPIs'!D54</f>
        <v>2610</v>
      </c>
      <c r="G54" s="68" t="n">
        <f aca="false">'📘 Facebook_KPIs'!E54</f>
        <v>683</v>
      </c>
      <c r="H54" s="68" t="n">
        <f aca="false">'📘 Facebook_KPIs'!F54</f>
        <v>62</v>
      </c>
      <c r="I54" s="68" t="n">
        <f aca="false">'📘 Facebook_KPIs'!G54</f>
        <v>11</v>
      </c>
      <c r="J54" s="68" t="n">
        <f aca="false">'📘 Facebook_KPIs'!H54</f>
        <v>2</v>
      </c>
      <c r="K54" s="64" t="n">
        <f aca="false">'📘 Facebook_KPIs'!I54</f>
        <v>0.217308304167992</v>
      </c>
      <c r="L54" s="64" t="n">
        <f aca="false">'📘 Facebook_KPIs'!J54</f>
        <v>0.0907759882869693</v>
      </c>
      <c r="M54" s="68" t="str">
        <f aca="false">'📘 Facebook_KPIs'!K54</f>
        <v>✓ Cumple</v>
      </c>
      <c r="N54" s="68" t="str">
        <f aca="false">'📘 Facebook_KPIs'!L54</f>
        <v>✓ Cumple</v>
      </c>
    </row>
    <row r="55" customFormat="false" ht="15" hidden="false" customHeight="true" outlineLevel="0" collapsed="false">
      <c r="A55" s="104" t="s">
        <v>539</v>
      </c>
      <c r="B55" s="66" t="n">
        <v>2025</v>
      </c>
      <c r="C55" s="67" t="s">
        <v>333</v>
      </c>
      <c r="D55" s="66" t="s">
        <v>488</v>
      </c>
      <c r="E55" s="68" t="n">
        <f aca="false">'📘 Facebook_KPIs'!C55</f>
        <v>3149</v>
      </c>
      <c r="F55" s="68" t="n">
        <f aca="false">'📘 Facebook_KPIs'!D55</f>
        <v>2124</v>
      </c>
      <c r="G55" s="68" t="n">
        <f aca="false">'📘 Facebook_KPIs'!E55</f>
        <v>362</v>
      </c>
      <c r="H55" s="68" t="n">
        <f aca="false">'📘 Facebook_KPIs'!F55</f>
        <v>46</v>
      </c>
      <c r="I55" s="68" t="n">
        <f aca="false">'📘 Facebook_KPIs'!G55</f>
        <v>6</v>
      </c>
      <c r="J55" s="68" t="n">
        <f aca="false">'📘 Facebook_KPIs'!H55</f>
        <v>2</v>
      </c>
      <c r="K55" s="64" t="n">
        <f aca="false">'📘 Facebook_KPIs'!I55</f>
        <v>0.11495712924738</v>
      </c>
      <c r="L55" s="64" t="n">
        <f aca="false">'📘 Facebook_KPIs'!J55</f>
        <v>0.12707182320442</v>
      </c>
      <c r="M55" s="68" t="str">
        <f aca="false">'📘 Facebook_KPIs'!K55</f>
        <v>✗ Por debajo</v>
      </c>
      <c r="N55" s="68" t="str">
        <f aca="false">'📘 Facebook_KPIs'!L55</f>
        <v>✓ Cumple</v>
      </c>
    </row>
    <row r="56" customFormat="false" ht="15" hidden="false" customHeight="true" outlineLevel="0" collapsed="false">
      <c r="A56" s="104" t="s">
        <v>540</v>
      </c>
      <c r="B56" s="60" t="n">
        <v>2025</v>
      </c>
      <c r="C56" s="61" t="s">
        <v>65</v>
      </c>
      <c r="D56" s="60" t="s">
        <v>488</v>
      </c>
      <c r="E56" s="68" t="n">
        <f aca="false">'📘 Facebook_KPIs'!C56</f>
        <v>3158</v>
      </c>
      <c r="F56" s="68" t="n">
        <f aca="false">'📘 Facebook_KPIs'!D56</f>
        <v>2386</v>
      </c>
      <c r="G56" s="68" t="n">
        <f aca="false">'📘 Facebook_KPIs'!E56</f>
        <v>175</v>
      </c>
      <c r="H56" s="68" t="n">
        <f aca="false">'📘 Facebook_KPIs'!F56</f>
        <v>48</v>
      </c>
      <c r="I56" s="68" t="n">
        <f aca="false">'📘 Facebook_KPIs'!G56</f>
        <v>9</v>
      </c>
      <c r="J56" s="68" t="n">
        <f aca="false">'📘 Facebook_KPIs'!H56</f>
        <v>3</v>
      </c>
      <c r="K56" s="64" t="n">
        <f aca="false">'📘 Facebook_KPIs'!I56</f>
        <v>0.0554148195060165</v>
      </c>
      <c r="L56" s="64" t="n">
        <f aca="false">'📘 Facebook_KPIs'!J56</f>
        <v>0.274285714285714</v>
      </c>
      <c r="M56" s="68" t="str">
        <f aca="false">'📘 Facebook_KPIs'!K56</f>
        <v>✗ Por debajo</v>
      </c>
      <c r="N56" s="68" t="str">
        <f aca="false">'📘 Facebook_KPIs'!L56</f>
        <v>✓ Cumple</v>
      </c>
    </row>
    <row r="57" customFormat="false" ht="15" hidden="false" customHeight="true" outlineLevel="0" collapsed="false">
      <c r="A57" s="104" t="s">
        <v>541</v>
      </c>
      <c r="B57" s="66" t="n">
        <v>2025</v>
      </c>
      <c r="C57" s="67" t="s">
        <v>108</v>
      </c>
      <c r="D57" s="66" t="s">
        <v>488</v>
      </c>
      <c r="E57" s="68" t="n">
        <f aca="false">'📘 Facebook_KPIs'!C57</f>
        <v>3163</v>
      </c>
      <c r="F57" s="68" t="n">
        <f aca="false">'📘 Facebook_KPIs'!D57</f>
        <v>1104</v>
      </c>
      <c r="G57" s="68" t="n">
        <f aca="false">'📘 Facebook_KPIs'!E57</f>
        <v>207</v>
      </c>
      <c r="H57" s="68" t="n">
        <f aca="false">'📘 Facebook_KPIs'!F57</f>
        <v>33</v>
      </c>
      <c r="I57" s="68" t="n">
        <f aca="false">'📘 Facebook_KPIs'!G57</f>
        <v>5</v>
      </c>
      <c r="J57" s="68" t="n">
        <f aca="false">'📘 Facebook_KPIs'!H57</f>
        <v>2</v>
      </c>
      <c r="K57" s="64" t="n">
        <f aca="false">'📘 Facebook_KPIs'!I57</f>
        <v>0.0654441985456845</v>
      </c>
      <c r="L57" s="64" t="n">
        <f aca="false">'📘 Facebook_KPIs'!J57</f>
        <v>0.159420289855072</v>
      </c>
      <c r="M57" s="68" t="str">
        <f aca="false">'📘 Facebook_KPIs'!K57</f>
        <v>✗ Por debajo</v>
      </c>
      <c r="N57" s="68" t="str">
        <f aca="false">'📘 Facebook_KPIs'!L57</f>
        <v>✓ Cumple</v>
      </c>
    </row>
    <row r="58" customFormat="false" ht="15" hidden="false" customHeight="true" outlineLevel="0" collapsed="false">
      <c r="A58" s="104" t="s">
        <v>542</v>
      </c>
      <c r="B58" s="60" t="n">
        <v>2025</v>
      </c>
      <c r="C58" s="61" t="s">
        <v>137</v>
      </c>
      <c r="D58" s="60" t="s">
        <v>488</v>
      </c>
      <c r="E58" s="68" t="n">
        <f aca="false">'📘 Facebook_KPIs'!C58</f>
        <v>3154</v>
      </c>
      <c r="F58" s="68" t="n">
        <f aca="false">'📘 Facebook_KPIs'!D58</f>
        <v>830</v>
      </c>
      <c r="G58" s="68" t="n">
        <f aca="false">'📘 Facebook_KPIs'!E58</f>
        <v>109</v>
      </c>
      <c r="H58" s="68" t="n">
        <f aca="false">'📘 Facebook_KPIs'!F58</f>
        <v>2</v>
      </c>
      <c r="I58" s="68" t="n">
        <f aca="false">'📘 Facebook_KPIs'!G58</f>
        <v>7</v>
      </c>
      <c r="J58" s="68" t="n">
        <f aca="false">'📘 Facebook_KPIs'!H58</f>
        <v>0</v>
      </c>
      <c r="K58" s="64" t="n">
        <f aca="false">'📘 Facebook_KPIs'!I58</f>
        <v>0.0345592897907419</v>
      </c>
      <c r="L58" s="64" t="n">
        <f aca="false">'📘 Facebook_KPIs'!J58</f>
        <v>0.018348623853211</v>
      </c>
      <c r="M58" s="68" t="str">
        <f aca="false">'📘 Facebook_KPIs'!K58</f>
        <v>✗ Por debajo</v>
      </c>
      <c r="N58" s="68" t="str">
        <f aca="false">'📘 Facebook_KPIs'!L58</f>
        <v>✗ Por debajo</v>
      </c>
    </row>
    <row r="59" customFormat="false" ht="15" hidden="false" customHeight="true" outlineLevel="0" collapsed="false">
      <c r="A59" s="104" t="s">
        <v>543</v>
      </c>
      <c r="B59" s="66" t="n">
        <v>2025</v>
      </c>
      <c r="C59" s="67" t="s">
        <v>166</v>
      </c>
      <c r="D59" s="66" t="s">
        <v>488</v>
      </c>
      <c r="E59" s="68" t="n">
        <f aca="false">'📘 Facebook_KPIs'!C59</f>
        <v>3164</v>
      </c>
      <c r="F59" s="68" t="n">
        <f aca="false">'📘 Facebook_KPIs'!D59</f>
        <v>3301</v>
      </c>
      <c r="G59" s="68" t="n">
        <f aca="false">'📘 Facebook_KPIs'!E59</f>
        <v>979</v>
      </c>
      <c r="H59" s="68" t="n">
        <f aca="false">'📘 Facebook_KPIs'!F59</f>
        <v>160</v>
      </c>
      <c r="I59" s="68" t="n">
        <f aca="false">'📘 Facebook_KPIs'!G59</f>
        <v>15</v>
      </c>
      <c r="J59" s="68" t="n">
        <f aca="false">'📘 Facebook_KPIs'!H59</f>
        <v>1</v>
      </c>
      <c r="K59" s="64" t="n">
        <f aca="false">'📘 Facebook_KPIs'!I59</f>
        <v>0.309418457648546</v>
      </c>
      <c r="L59" s="64" t="n">
        <f aca="false">'📘 Facebook_KPIs'!J59</f>
        <v>0.163432073544433</v>
      </c>
      <c r="M59" s="68" t="str">
        <f aca="false">'📘 Facebook_KPIs'!K59</f>
        <v>✓ Cumple</v>
      </c>
      <c r="N59" s="68" t="str">
        <f aca="false">'📘 Facebook_KPIs'!L59</f>
        <v>✓ Cumple</v>
      </c>
    </row>
    <row r="60" customFormat="false" ht="15" hidden="false" customHeight="true" outlineLevel="0" collapsed="false">
      <c r="A60" s="104" t="s">
        <v>544</v>
      </c>
      <c r="B60" s="60" t="n">
        <v>2025</v>
      </c>
      <c r="C60" s="61" t="s">
        <v>334</v>
      </c>
      <c r="D60" s="60" t="s">
        <v>488</v>
      </c>
      <c r="E60" s="68" t="n">
        <f aca="false">'📘 Facebook_KPIs'!C60</f>
        <v>3168</v>
      </c>
      <c r="F60" s="68" t="n">
        <f aca="false">'📘 Facebook_KPIs'!D60</f>
        <v>700</v>
      </c>
      <c r="G60" s="68" t="n">
        <f aca="false">'📘 Facebook_KPIs'!E60</f>
        <v>119</v>
      </c>
      <c r="H60" s="68" t="n">
        <f aca="false">'📘 Facebook_KPIs'!F60</f>
        <v>1</v>
      </c>
      <c r="I60" s="68" t="n">
        <f aca="false">'📘 Facebook_KPIs'!G60</f>
        <v>2</v>
      </c>
      <c r="J60" s="68" t="n">
        <f aca="false">'📘 Facebook_KPIs'!H60</f>
        <v>0</v>
      </c>
      <c r="K60" s="64" t="n">
        <f aca="false">'📘 Facebook_KPIs'!I60</f>
        <v>0.0375631313131313</v>
      </c>
      <c r="L60" s="64" t="n">
        <f aca="false">'📘 Facebook_KPIs'!J60</f>
        <v>0.00840336134453782</v>
      </c>
      <c r="M60" s="68" t="str">
        <f aca="false">'📘 Facebook_KPIs'!K60</f>
        <v>✗ Por debajo</v>
      </c>
      <c r="N60" s="68" t="str">
        <f aca="false">'📘 Facebook_KPIs'!L60</f>
        <v>✗ Por debajo</v>
      </c>
    </row>
    <row r="61" customFormat="false" ht="15" hidden="false" customHeight="true" outlineLevel="0" collapsed="false">
      <c r="A61" s="104" t="s">
        <v>545</v>
      </c>
      <c r="B61" s="66" t="n">
        <v>2025</v>
      </c>
      <c r="C61" s="67" t="s">
        <v>218</v>
      </c>
      <c r="D61" s="66" t="s">
        <v>488</v>
      </c>
      <c r="E61" s="68" t="n">
        <f aca="false">'📘 Facebook_KPIs'!C61</f>
        <v>3165</v>
      </c>
      <c r="F61" s="68" t="n">
        <f aca="false">'📘 Facebook_KPIs'!D61</f>
        <v>690</v>
      </c>
      <c r="G61" s="68" t="n">
        <f aca="false">'📘 Facebook_KPIs'!E61</f>
        <v>110</v>
      </c>
      <c r="H61" s="68" t="n">
        <f aca="false">'📘 Facebook_KPIs'!F61</f>
        <v>7</v>
      </c>
      <c r="I61" s="68" t="n">
        <f aca="false">'📘 Facebook_KPIs'!G61</f>
        <v>3</v>
      </c>
      <c r="J61" s="68" t="n">
        <f aca="false">'📘 Facebook_KPIs'!H61</f>
        <v>0</v>
      </c>
      <c r="K61" s="64" t="n">
        <f aca="false">'📘 Facebook_KPIs'!I61</f>
        <v>0.0347551342812006</v>
      </c>
      <c r="L61" s="64" t="n">
        <f aca="false">'📘 Facebook_KPIs'!J61</f>
        <v>0.0636363636363636</v>
      </c>
      <c r="M61" s="68" t="str">
        <f aca="false">'📘 Facebook_KPIs'!K61</f>
        <v>✗ Por debajo</v>
      </c>
      <c r="N61" s="68" t="str">
        <f aca="false">'📘 Facebook_KPIs'!L61</f>
        <v>✗ Por debajo</v>
      </c>
    </row>
    <row r="62" customFormat="false" ht="15" hidden="false" customHeight="true" outlineLevel="0" collapsed="false">
      <c r="A62" s="104" t="s">
        <v>546</v>
      </c>
      <c r="B62" s="60" t="n">
        <v>2025</v>
      </c>
      <c r="C62" s="61" t="s">
        <v>244</v>
      </c>
      <c r="D62" s="60" t="s">
        <v>488</v>
      </c>
      <c r="E62" s="68" t="n">
        <f aca="false">'📘 Facebook_KPIs'!C62</f>
        <v>3163</v>
      </c>
      <c r="F62" s="68" t="n">
        <f aca="false">'📘 Facebook_KPIs'!D62</f>
        <v>650</v>
      </c>
      <c r="G62" s="68" t="n">
        <f aca="false">'📘 Facebook_KPIs'!E62</f>
        <v>80</v>
      </c>
      <c r="H62" s="68" t="n">
        <f aca="false">'📘 Facebook_KPIs'!F62</f>
        <v>0</v>
      </c>
      <c r="I62" s="68" t="n">
        <f aca="false">'📘 Facebook_KPIs'!G62</f>
        <v>2</v>
      </c>
      <c r="J62" s="68" t="n">
        <f aca="false">'📘 Facebook_KPIs'!H62</f>
        <v>0</v>
      </c>
      <c r="K62" s="64" t="n">
        <f aca="false">'📘 Facebook_KPIs'!I62</f>
        <v>0.0252924438823901</v>
      </c>
      <c r="L62" s="64" t="n">
        <f aca="false">'📘 Facebook_KPIs'!J62</f>
        <v>0</v>
      </c>
      <c r="M62" s="68" t="str">
        <f aca="false">'📘 Facebook_KPIs'!K62</f>
        <v>✗ Por debajo</v>
      </c>
      <c r="N62" s="68" t="str">
        <f aca="false">'📘 Facebook_KPIs'!L62</f>
        <v>✗ Por debajo</v>
      </c>
    </row>
    <row r="63" customFormat="false" ht="15" hidden="false" customHeight="true" outlineLevel="0" collapsed="false">
      <c r="A63" s="104" t="s">
        <v>547</v>
      </c>
      <c r="B63" s="66" t="n">
        <v>2025</v>
      </c>
      <c r="C63" s="67" t="s">
        <v>270</v>
      </c>
      <c r="D63" s="66" t="s">
        <v>488</v>
      </c>
      <c r="E63" s="68" t="n">
        <f aca="false">'📘 Facebook_KPIs'!C63</f>
        <v>3160</v>
      </c>
      <c r="F63" s="68" t="n">
        <f aca="false">'📘 Facebook_KPIs'!D63</f>
        <v>660</v>
      </c>
      <c r="G63" s="68" t="n">
        <f aca="false">'📘 Facebook_KPIs'!E63</f>
        <v>108</v>
      </c>
      <c r="H63" s="68" t="n">
        <f aca="false">'📘 Facebook_KPIs'!F63</f>
        <v>1</v>
      </c>
      <c r="I63" s="68" t="n">
        <f aca="false">'📘 Facebook_KPIs'!G63</f>
        <v>1</v>
      </c>
      <c r="J63" s="68" t="n">
        <f aca="false">'📘 Facebook_KPIs'!H63</f>
        <v>0</v>
      </c>
      <c r="K63" s="64" t="n">
        <f aca="false">'📘 Facebook_KPIs'!I63</f>
        <v>0.0341772151898734</v>
      </c>
      <c r="L63" s="64" t="n">
        <f aca="false">'📘 Facebook_KPIs'!J63</f>
        <v>0.00925925925925926</v>
      </c>
      <c r="M63" s="68" t="str">
        <f aca="false">'📘 Facebook_KPIs'!K63</f>
        <v>✗ Por debajo</v>
      </c>
      <c r="N63" s="68" t="str">
        <f aca="false">'📘 Facebook_KPIs'!L63</f>
        <v>✗ Por debajo</v>
      </c>
    </row>
    <row r="64" customFormat="false" ht="15" hidden="false" customHeight="true" outlineLevel="0" collapsed="false">
      <c r="A64" s="104" t="s">
        <v>548</v>
      </c>
      <c r="B64" s="60" t="n">
        <v>2026</v>
      </c>
      <c r="C64" s="61" t="s">
        <v>330</v>
      </c>
      <c r="D64" s="60" t="s">
        <v>488</v>
      </c>
      <c r="E64" s="68" t="n">
        <f aca="false">'📘 Facebook_KPIs'!C64</f>
        <v>3160</v>
      </c>
      <c r="F64" s="68" t="n">
        <f aca="false">'📘 Facebook_KPIs'!D64</f>
        <v>775</v>
      </c>
      <c r="G64" s="68" t="n">
        <f aca="false">'📘 Facebook_KPIs'!E64</f>
        <v>97</v>
      </c>
      <c r="H64" s="68" t="n">
        <f aca="false">'📘 Facebook_KPIs'!F64</f>
        <v>4</v>
      </c>
      <c r="I64" s="68" t="n">
        <f aca="false">'📘 Facebook_KPIs'!G64</f>
        <v>7</v>
      </c>
      <c r="J64" s="68" t="n">
        <f aca="false">'📘 Facebook_KPIs'!H64</f>
        <v>0</v>
      </c>
      <c r="K64" s="64" t="n">
        <f aca="false">'📘 Facebook_KPIs'!I64</f>
        <v>0.0306962025316456</v>
      </c>
      <c r="L64" s="64" t="n">
        <f aca="false">'📘 Facebook_KPIs'!J64</f>
        <v>0.0412371134020619</v>
      </c>
      <c r="M64" s="68" t="str">
        <f aca="false">'📘 Facebook_KPIs'!K64</f>
        <v>✗ Por debajo</v>
      </c>
      <c r="N64" s="68" t="str">
        <f aca="false">'📘 Facebook_KPIs'!L64</f>
        <v>✗ Por debajo</v>
      </c>
    </row>
    <row r="65" customFormat="false" ht="15" hidden="false" customHeight="true" outlineLevel="0" collapsed="false">
      <c r="A65" s="104" t="s">
        <v>549</v>
      </c>
      <c r="B65" s="66" t="n">
        <v>2026</v>
      </c>
      <c r="C65" s="67" t="s">
        <v>331</v>
      </c>
      <c r="D65" s="66" t="s">
        <v>488</v>
      </c>
      <c r="E65" s="68" t="n">
        <f aca="false">'📘 Facebook_KPIs'!C65</f>
        <v>3167</v>
      </c>
      <c r="F65" s="68" t="n">
        <f aca="false">'📘 Facebook_KPIs'!D65</f>
        <v>717</v>
      </c>
      <c r="G65" s="68" t="n">
        <f aca="false">'📘 Facebook_KPIs'!E65</f>
        <v>93</v>
      </c>
      <c r="H65" s="68" t="n">
        <f aca="false">'📘 Facebook_KPIs'!F65</f>
        <v>1</v>
      </c>
      <c r="I65" s="68" t="n">
        <f aca="false">'📘 Facebook_KPIs'!G65</f>
        <v>3</v>
      </c>
      <c r="J65" s="68" t="n">
        <f aca="false">'📘 Facebook_KPIs'!H65</f>
        <v>0</v>
      </c>
      <c r="K65" s="64" t="n">
        <f aca="false">'📘 Facebook_KPIs'!I65</f>
        <v>0.0293653299652668</v>
      </c>
      <c r="L65" s="64" t="n">
        <f aca="false">'📘 Facebook_KPIs'!J65</f>
        <v>0.010752688172043</v>
      </c>
      <c r="M65" s="68" t="str">
        <f aca="false">'📘 Facebook_KPIs'!K65</f>
        <v>✗ Por debajo</v>
      </c>
      <c r="N65" s="68" t="str">
        <f aca="false">'📘 Facebook_KPIs'!L65</f>
        <v>✗ Por debajo</v>
      </c>
    </row>
    <row r="66" customFormat="false" ht="15" hidden="false" customHeight="true" outlineLevel="0" collapsed="false">
      <c r="A66" s="104" t="s">
        <v>550</v>
      </c>
      <c r="B66" s="60" t="n">
        <v>2026</v>
      </c>
      <c r="C66" s="61" t="s">
        <v>332</v>
      </c>
      <c r="D66" s="60" t="s">
        <v>488</v>
      </c>
      <c r="E66" s="68" t="n">
        <f aca="false">'📘 Facebook_KPIs'!C66</f>
        <v>3170</v>
      </c>
      <c r="F66" s="68" t="n">
        <f aca="false">'📘 Facebook_KPIs'!D66</f>
        <v>746</v>
      </c>
      <c r="G66" s="68" t="n">
        <f aca="false">'📘 Facebook_KPIs'!E66</f>
        <v>97</v>
      </c>
      <c r="H66" s="68" t="n">
        <f aca="false">'📘 Facebook_KPIs'!F66</f>
        <v>0</v>
      </c>
      <c r="I66" s="68" t="n">
        <f aca="false">'📘 Facebook_KPIs'!G66</f>
        <v>5</v>
      </c>
      <c r="J66" s="68" t="n">
        <f aca="false">'📘 Facebook_KPIs'!H66</f>
        <v>0</v>
      </c>
      <c r="K66" s="64" t="n">
        <f aca="false">'📘 Facebook_KPIs'!I66</f>
        <v>0.0305993690851735</v>
      </c>
      <c r="L66" s="64" t="n">
        <f aca="false">'📘 Facebook_KPIs'!J66</f>
        <v>0</v>
      </c>
      <c r="M66" s="68" t="str">
        <f aca="false">'📘 Facebook_KPIs'!K66</f>
        <v>✗ Por debajo</v>
      </c>
      <c r="N66" s="68" t="str">
        <f aca="false">'📘 Facebook_KPIs'!L66</f>
        <v>✗ Por debajo</v>
      </c>
    </row>
    <row r="67" customFormat="false" ht="15" hidden="false" customHeight="true" outlineLevel="0" collapsed="false">
      <c r="A67" s="104" t="s">
        <v>551</v>
      </c>
      <c r="B67" s="66" t="n">
        <v>2026</v>
      </c>
      <c r="C67" s="67" t="s">
        <v>333</v>
      </c>
      <c r="D67" s="66" t="s">
        <v>488</v>
      </c>
      <c r="E67" s="68" t="n">
        <f aca="false">'📘 Facebook_KPIs'!C67</f>
        <v>3176</v>
      </c>
      <c r="F67" s="68" t="n">
        <f aca="false">'📘 Facebook_KPIs'!D67</f>
        <v>3349</v>
      </c>
      <c r="G67" s="68" t="n">
        <f aca="false">'📘 Facebook_KPIs'!E67</f>
        <v>900</v>
      </c>
      <c r="H67" s="68" t="n">
        <f aca="false">'📘 Facebook_KPIs'!F67</f>
        <v>61</v>
      </c>
      <c r="I67" s="68" t="n">
        <f aca="false">'📘 Facebook_KPIs'!G67</f>
        <v>14</v>
      </c>
      <c r="J67" s="68" t="n">
        <f aca="false">'📘 Facebook_KPIs'!H67</f>
        <v>1</v>
      </c>
      <c r="K67" s="64" t="n">
        <f aca="false">'📘 Facebook_KPIs'!I67</f>
        <v>0.283375314861461</v>
      </c>
      <c r="L67" s="64" t="n">
        <f aca="false">'📘 Facebook_KPIs'!J67</f>
        <v>0.0677777777777778</v>
      </c>
      <c r="M67" s="68" t="str">
        <f aca="false">'📘 Facebook_KPIs'!K67</f>
        <v>✓ Cumple</v>
      </c>
      <c r="N67" s="68" t="str">
        <f aca="false">'📘 Facebook_KPIs'!L67</f>
        <v>✗ Por debajo</v>
      </c>
    </row>
    <row r="68" customFormat="false" ht="15" hidden="false" customHeight="true" outlineLevel="0" collapsed="false">
      <c r="A68" s="104" t="s">
        <v>552</v>
      </c>
      <c r="B68" s="60" t="n">
        <v>2026</v>
      </c>
      <c r="C68" s="61" t="s">
        <v>65</v>
      </c>
      <c r="D68" s="60" t="s">
        <v>488</v>
      </c>
      <c r="E68" s="68" t="n">
        <f aca="false">'📘 Facebook_KPIs'!C68</f>
        <v>3184</v>
      </c>
      <c r="F68" s="68" t="n">
        <f aca="false">'📘 Facebook_KPIs'!D68</f>
        <v>5105</v>
      </c>
      <c r="G68" s="68" t="n">
        <f aca="false">'📘 Facebook_KPIs'!E68</f>
        <v>1567</v>
      </c>
      <c r="H68" s="68" t="n">
        <f aca="false">'📘 Facebook_KPIs'!F68</f>
        <v>108</v>
      </c>
      <c r="I68" s="68" t="n">
        <f aca="false">'📘 Facebook_KPIs'!G68</f>
        <v>22</v>
      </c>
      <c r="J68" s="68" t="n">
        <f aca="false">'📘 Facebook_KPIs'!H68</f>
        <v>2</v>
      </c>
      <c r="K68" s="64" t="n">
        <f aca="false">'📘 Facebook_KPIs'!I68</f>
        <v>0.49214824120603</v>
      </c>
      <c r="L68" s="64" t="n">
        <f aca="false">'📘 Facebook_KPIs'!J68</f>
        <v>0.0689215060625399</v>
      </c>
      <c r="M68" s="68" t="str">
        <f aca="false">'📘 Facebook_KPIs'!K68</f>
        <v>✓ Cumple</v>
      </c>
      <c r="N68" s="68" t="str">
        <f aca="false">'📘 Facebook_KPIs'!L68</f>
        <v>✗ Por debajo</v>
      </c>
    </row>
    <row r="69" customFormat="false" ht="15" hidden="false" customHeight="true" outlineLevel="0" collapsed="false">
      <c r="A69" s="104" t="s">
        <v>553</v>
      </c>
      <c r="B69" s="66" t="n">
        <v>2026</v>
      </c>
      <c r="C69" s="67" t="s">
        <v>108</v>
      </c>
      <c r="D69" s="66" t="s">
        <v>488</v>
      </c>
      <c r="E69" s="68" t="n">
        <f aca="false">'📘 Facebook_KPIs'!C69</f>
        <v>0</v>
      </c>
      <c r="F69" s="68" t="n">
        <f aca="false">'📘 Facebook_KPIs'!D69</f>
        <v>0</v>
      </c>
      <c r="G69" s="68" t="n">
        <f aca="false">'📘 Facebook_KPIs'!E69</f>
        <v>0</v>
      </c>
      <c r="H69" s="68" t="n">
        <f aca="false">'📘 Facebook_KPIs'!F69</f>
        <v>0</v>
      </c>
      <c r="I69" s="68" t="n">
        <f aca="false">'📘 Facebook_KPIs'!G69</f>
        <v>0</v>
      </c>
      <c r="J69" s="68" t="n">
        <f aca="false">'📘 Facebook_KPIs'!H69</f>
        <v>0</v>
      </c>
      <c r="K69" s="64" t="str">
        <f aca="false">'📘 Facebook_KPIs'!I69</f>
        <v/>
      </c>
      <c r="L69" s="64" t="str">
        <f aca="false">'📘 Facebook_KPIs'!J69</f>
        <v/>
      </c>
      <c r="M69" s="68" t="str">
        <f aca="false">'📘 Facebook_KPIs'!K69</f>
        <v/>
      </c>
      <c r="N69" s="68" t="str">
        <f aca="false">'📘 Facebook_KPIs'!L69</f>
        <v/>
      </c>
    </row>
    <row r="70" customFormat="false" ht="15" hidden="false" customHeight="true" outlineLevel="0" collapsed="false">
      <c r="A70" s="104" t="s">
        <v>554</v>
      </c>
      <c r="B70" s="60" t="n">
        <v>2026</v>
      </c>
      <c r="C70" s="61" t="s">
        <v>137</v>
      </c>
      <c r="D70" s="60" t="s">
        <v>488</v>
      </c>
      <c r="E70" s="68" t="n">
        <f aca="false">'📘 Facebook_KPIs'!C70</f>
        <v>0</v>
      </c>
      <c r="F70" s="68" t="n">
        <f aca="false">'📘 Facebook_KPIs'!D70</f>
        <v>0</v>
      </c>
      <c r="G70" s="68" t="n">
        <f aca="false">'📘 Facebook_KPIs'!E70</f>
        <v>0</v>
      </c>
      <c r="H70" s="68" t="n">
        <f aca="false">'📘 Facebook_KPIs'!F70</f>
        <v>0</v>
      </c>
      <c r="I70" s="68" t="n">
        <f aca="false">'📘 Facebook_KPIs'!G70</f>
        <v>0</v>
      </c>
      <c r="J70" s="68" t="n">
        <f aca="false">'📘 Facebook_KPIs'!H70</f>
        <v>0</v>
      </c>
      <c r="K70" s="64" t="str">
        <f aca="false">'📘 Facebook_KPIs'!I70</f>
        <v/>
      </c>
      <c r="L70" s="64" t="str">
        <f aca="false">'📘 Facebook_KPIs'!J70</f>
        <v/>
      </c>
      <c r="M70" s="68" t="str">
        <f aca="false">'📘 Facebook_KPIs'!K70</f>
        <v/>
      </c>
      <c r="N70" s="68" t="str">
        <f aca="false">'📘 Facebook_KPIs'!L70</f>
        <v/>
      </c>
    </row>
    <row r="71" customFormat="false" ht="15" hidden="false" customHeight="true" outlineLevel="0" collapsed="false">
      <c r="A71" s="104" t="s">
        <v>555</v>
      </c>
      <c r="B71" s="66" t="n">
        <v>2026</v>
      </c>
      <c r="C71" s="67" t="s">
        <v>166</v>
      </c>
      <c r="D71" s="66" t="s">
        <v>488</v>
      </c>
      <c r="E71" s="68" t="n">
        <f aca="false">'📘 Facebook_KPIs'!C71</f>
        <v>0</v>
      </c>
      <c r="F71" s="68" t="n">
        <f aca="false">'📘 Facebook_KPIs'!D71</f>
        <v>0</v>
      </c>
      <c r="G71" s="68" t="n">
        <f aca="false">'📘 Facebook_KPIs'!E71</f>
        <v>0</v>
      </c>
      <c r="H71" s="68" t="n">
        <f aca="false">'📘 Facebook_KPIs'!F71</f>
        <v>0</v>
      </c>
      <c r="I71" s="68" t="n">
        <f aca="false">'📘 Facebook_KPIs'!G71</f>
        <v>0</v>
      </c>
      <c r="J71" s="68" t="n">
        <f aca="false">'📘 Facebook_KPIs'!H71</f>
        <v>0</v>
      </c>
      <c r="K71" s="64" t="str">
        <f aca="false">'📘 Facebook_KPIs'!I71</f>
        <v/>
      </c>
      <c r="L71" s="64" t="str">
        <f aca="false">'📘 Facebook_KPIs'!J71</f>
        <v/>
      </c>
      <c r="M71" s="68" t="str">
        <f aca="false">'📘 Facebook_KPIs'!K71</f>
        <v/>
      </c>
      <c r="N71" s="68" t="str">
        <f aca="false">'📘 Facebook_KPIs'!L71</f>
        <v/>
      </c>
    </row>
    <row r="72" customFormat="false" ht="15" hidden="false" customHeight="true" outlineLevel="0" collapsed="false">
      <c r="A72" s="104" t="s">
        <v>556</v>
      </c>
      <c r="B72" s="60" t="n">
        <v>2026</v>
      </c>
      <c r="C72" s="61" t="s">
        <v>334</v>
      </c>
      <c r="D72" s="60" t="s">
        <v>488</v>
      </c>
      <c r="E72" s="68" t="n">
        <f aca="false">'📘 Facebook_KPIs'!C72</f>
        <v>0</v>
      </c>
      <c r="F72" s="68" t="n">
        <f aca="false">'📘 Facebook_KPIs'!D72</f>
        <v>0</v>
      </c>
      <c r="G72" s="68" t="n">
        <f aca="false">'📘 Facebook_KPIs'!E72</f>
        <v>0</v>
      </c>
      <c r="H72" s="68" t="n">
        <f aca="false">'📘 Facebook_KPIs'!F72</f>
        <v>0</v>
      </c>
      <c r="I72" s="68" t="n">
        <f aca="false">'📘 Facebook_KPIs'!G72</f>
        <v>0</v>
      </c>
      <c r="J72" s="68" t="n">
        <f aca="false">'📘 Facebook_KPIs'!H72</f>
        <v>0</v>
      </c>
      <c r="K72" s="64" t="str">
        <f aca="false">'📘 Facebook_KPIs'!I72</f>
        <v/>
      </c>
      <c r="L72" s="64" t="str">
        <f aca="false">'📘 Facebook_KPIs'!J72</f>
        <v/>
      </c>
      <c r="M72" s="68" t="str">
        <f aca="false">'📘 Facebook_KPIs'!K72</f>
        <v/>
      </c>
      <c r="N72" s="68" t="str">
        <f aca="false">'📘 Facebook_KPIs'!L72</f>
        <v/>
      </c>
    </row>
    <row r="73" customFormat="false" ht="15" hidden="false" customHeight="true" outlineLevel="0" collapsed="false">
      <c r="A73" s="104" t="s">
        <v>557</v>
      </c>
      <c r="B73" s="66" t="n">
        <v>2026</v>
      </c>
      <c r="C73" s="67" t="s">
        <v>218</v>
      </c>
      <c r="D73" s="66" t="s">
        <v>488</v>
      </c>
      <c r="E73" s="68" t="n">
        <f aca="false">'📘 Facebook_KPIs'!C73</f>
        <v>0</v>
      </c>
      <c r="F73" s="68" t="n">
        <f aca="false">'📘 Facebook_KPIs'!D73</f>
        <v>0</v>
      </c>
      <c r="G73" s="68" t="n">
        <f aca="false">'📘 Facebook_KPIs'!E73</f>
        <v>0</v>
      </c>
      <c r="H73" s="68" t="n">
        <f aca="false">'📘 Facebook_KPIs'!F73</f>
        <v>0</v>
      </c>
      <c r="I73" s="68" t="n">
        <f aca="false">'📘 Facebook_KPIs'!G73</f>
        <v>0</v>
      </c>
      <c r="J73" s="68" t="n">
        <f aca="false">'📘 Facebook_KPIs'!H73</f>
        <v>0</v>
      </c>
      <c r="K73" s="64" t="str">
        <f aca="false">'📘 Facebook_KPIs'!I73</f>
        <v/>
      </c>
      <c r="L73" s="64" t="str">
        <f aca="false">'📘 Facebook_KPIs'!J73</f>
        <v/>
      </c>
      <c r="M73" s="68" t="str">
        <f aca="false">'📘 Facebook_KPIs'!K73</f>
        <v/>
      </c>
      <c r="N73" s="68" t="str">
        <f aca="false">'📘 Facebook_KPIs'!L73</f>
        <v/>
      </c>
    </row>
    <row r="74" customFormat="false" ht="15" hidden="false" customHeight="true" outlineLevel="0" collapsed="false">
      <c r="A74" s="104" t="s">
        <v>558</v>
      </c>
      <c r="B74" s="60" t="n">
        <v>2026</v>
      </c>
      <c r="C74" s="61" t="s">
        <v>244</v>
      </c>
      <c r="D74" s="60" t="s">
        <v>488</v>
      </c>
      <c r="E74" s="68" t="n">
        <f aca="false">'📘 Facebook_KPIs'!C74</f>
        <v>0</v>
      </c>
      <c r="F74" s="68" t="n">
        <f aca="false">'📘 Facebook_KPIs'!D74</f>
        <v>0</v>
      </c>
      <c r="G74" s="68" t="n">
        <f aca="false">'📘 Facebook_KPIs'!E74</f>
        <v>0</v>
      </c>
      <c r="H74" s="68" t="n">
        <f aca="false">'📘 Facebook_KPIs'!F74</f>
        <v>0</v>
      </c>
      <c r="I74" s="68" t="n">
        <f aca="false">'📘 Facebook_KPIs'!G74</f>
        <v>0</v>
      </c>
      <c r="J74" s="68" t="n">
        <f aca="false">'📘 Facebook_KPIs'!H74</f>
        <v>0</v>
      </c>
      <c r="K74" s="64" t="str">
        <f aca="false">'📘 Facebook_KPIs'!I74</f>
        <v/>
      </c>
      <c r="L74" s="64" t="str">
        <f aca="false">'📘 Facebook_KPIs'!J74</f>
        <v/>
      </c>
      <c r="M74" s="68" t="str">
        <f aca="false">'📘 Facebook_KPIs'!K74</f>
        <v/>
      </c>
      <c r="N74" s="68" t="str">
        <f aca="false">'📘 Facebook_KPIs'!L74</f>
        <v/>
      </c>
    </row>
    <row r="75" customFormat="false" ht="15" hidden="false" customHeight="true" outlineLevel="0" collapsed="false">
      <c r="A75" s="104" t="s">
        <v>559</v>
      </c>
      <c r="B75" s="66" t="n">
        <v>2026</v>
      </c>
      <c r="C75" s="67" t="s">
        <v>270</v>
      </c>
      <c r="D75" s="66" t="s">
        <v>488</v>
      </c>
      <c r="E75" s="68" t="n">
        <f aca="false">'📘 Facebook_KPIs'!C75</f>
        <v>0</v>
      </c>
      <c r="F75" s="68" t="n">
        <f aca="false">'📘 Facebook_KPIs'!D75</f>
        <v>0</v>
      </c>
      <c r="G75" s="68" t="n">
        <f aca="false">'📘 Facebook_KPIs'!E75</f>
        <v>0</v>
      </c>
      <c r="H75" s="68" t="n">
        <f aca="false">'📘 Facebook_KPIs'!F75</f>
        <v>0</v>
      </c>
      <c r="I75" s="68" t="n">
        <f aca="false">'📘 Facebook_KPIs'!G75</f>
        <v>0</v>
      </c>
      <c r="J75" s="68" t="n">
        <f aca="false">'📘 Facebook_KPIs'!H75</f>
        <v>0</v>
      </c>
      <c r="K75" s="64" t="str">
        <f aca="false">'📘 Facebook_KPIs'!I75</f>
        <v/>
      </c>
      <c r="L75" s="64" t="str">
        <f aca="false">'📘 Facebook_KPIs'!J75</f>
        <v/>
      </c>
      <c r="M75" s="68" t="str">
        <f aca="false">'📘 Facebook_KPIs'!K75</f>
        <v/>
      </c>
      <c r="N75" s="68" t="str">
        <f aca="false">'📘 Facebook_KPIs'!L75</f>
        <v/>
      </c>
    </row>
    <row r="76" customFormat="false" ht="15" hidden="false" customHeight="true" outlineLevel="0" collapsed="false">
      <c r="A76" s="104" t="s">
        <v>560</v>
      </c>
      <c r="B76" s="72" t="n">
        <v>2022</v>
      </c>
      <c r="C76" s="73" t="s">
        <v>330</v>
      </c>
      <c r="D76" s="72" t="s">
        <v>561</v>
      </c>
      <c r="E76" s="68" t="n">
        <f aca="false">'💼 LinkedIn_KPIs'!C4</f>
        <v>3115</v>
      </c>
      <c r="F76" s="68" t="n">
        <f aca="false">'💼 LinkedIn_KPIs'!D4</f>
        <v>6054</v>
      </c>
      <c r="G76" s="68" t="n">
        <f aca="false">'💼 LinkedIn_KPIs'!E4</f>
        <v>695</v>
      </c>
      <c r="H76" s="68" t="n">
        <f aca="false">'💼 LinkedIn_KPIs'!F4</f>
        <v>339</v>
      </c>
      <c r="I76" s="68" t="n">
        <f aca="false">'💼 LinkedIn_KPIs'!G4</f>
        <v>27</v>
      </c>
      <c r="J76" s="68" t="n">
        <f aca="false">'💼 LinkedIn_KPIs'!H4</f>
        <v>5</v>
      </c>
      <c r="K76" s="64" t="n">
        <f aca="false">'💼 LinkedIn_KPIs'!I4</f>
        <v>0.223113964686998</v>
      </c>
      <c r="L76" s="64" t="n">
        <f aca="false">'💼 LinkedIn_KPIs'!J4</f>
        <v>0.05599603567889</v>
      </c>
      <c r="M76" s="68" t="str">
        <f aca="false">'💼 LinkedIn_KPIs'!K4</f>
        <v>✓ Cumple</v>
      </c>
      <c r="N76" s="68" t="str">
        <f aca="false">'💼 LinkedIn_KPIs'!L4</f>
        <v>✗ Por debajo</v>
      </c>
    </row>
    <row r="77" customFormat="false" ht="15" hidden="false" customHeight="true" outlineLevel="0" collapsed="false">
      <c r="A77" s="104" t="s">
        <v>562</v>
      </c>
      <c r="B77" s="66" t="n">
        <v>2022</v>
      </c>
      <c r="C77" s="67" t="s">
        <v>331</v>
      </c>
      <c r="D77" s="66" t="s">
        <v>561</v>
      </c>
      <c r="E77" s="68" t="n">
        <f aca="false">'💼 LinkedIn_KPIs'!C5</f>
        <v>3152</v>
      </c>
      <c r="F77" s="68" t="n">
        <f aca="false">'💼 LinkedIn_KPIs'!D5</f>
        <v>6240</v>
      </c>
      <c r="G77" s="68" t="n">
        <f aca="false">'💼 LinkedIn_KPIs'!E5</f>
        <v>1923</v>
      </c>
      <c r="H77" s="68" t="n">
        <f aca="false">'💼 LinkedIn_KPIs'!F5</f>
        <v>601</v>
      </c>
      <c r="I77" s="68" t="n">
        <f aca="false">'💼 LinkedIn_KPIs'!G5</f>
        <v>35</v>
      </c>
      <c r="J77" s="68" t="n">
        <f aca="false">'💼 LinkedIn_KPIs'!H5</f>
        <v>3</v>
      </c>
      <c r="K77" s="64" t="n">
        <f aca="false">'💼 LinkedIn_KPIs'!I5</f>
        <v>0.61008883248731</v>
      </c>
      <c r="L77" s="64" t="n">
        <f aca="false">'💼 LinkedIn_KPIs'!J5</f>
        <v>0.0963141025641026</v>
      </c>
      <c r="M77" s="68" t="str">
        <f aca="false">'💼 LinkedIn_KPIs'!K5</f>
        <v>✓ Cumple</v>
      </c>
      <c r="N77" s="68" t="str">
        <f aca="false">'💼 LinkedIn_KPIs'!L5</f>
        <v>✓ Cumple</v>
      </c>
    </row>
    <row r="78" customFormat="false" ht="15" hidden="false" customHeight="true" outlineLevel="0" collapsed="false">
      <c r="A78" s="104" t="s">
        <v>563</v>
      </c>
      <c r="B78" s="72" t="n">
        <v>2022</v>
      </c>
      <c r="C78" s="73" t="s">
        <v>332</v>
      </c>
      <c r="D78" s="72" t="s">
        <v>561</v>
      </c>
      <c r="E78" s="68" t="n">
        <f aca="false">'💼 LinkedIn_KPIs'!C6</f>
        <v>3194</v>
      </c>
      <c r="F78" s="68" t="n">
        <f aca="false">'💼 LinkedIn_KPIs'!D6</f>
        <v>5635</v>
      </c>
      <c r="G78" s="68" t="n">
        <f aca="false">'💼 LinkedIn_KPIs'!E6</f>
        <v>3330</v>
      </c>
      <c r="H78" s="68" t="n">
        <f aca="false">'💼 LinkedIn_KPIs'!F6</f>
        <v>488</v>
      </c>
      <c r="I78" s="68" t="n">
        <f aca="false">'💼 LinkedIn_KPIs'!G6</f>
        <v>42</v>
      </c>
      <c r="J78" s="68" t="n">
        <f aca="false">'💼 LinkedIn_KPIs'!H6</f>
        <v>2</v>
      </c>
      <c r="K78" s="64" t="n">
        <f aca="false">'💼 LinkedIn_KPIs'!I6</f>
        <v>1.04257983719474</v>
      </c>
      <c r="L78" s="64" t="n">
        <f aca="false">'💼 LinkedIn_KPIs'!J6</f>
        <v>0.0866015971606034</v>
      </c>
      <c r="M78" s="68" t="str">
        <f aca="false">'💼 LinkedIn_KPIs'!K6</f>
        <v>✓ Cumple</v>
      </c>
      <c r="N78" s="68" t="str">
        <f aca="false">'💼 LinkedIn_KPIs'!L6</f>
        <v>✓ Cumple</v>
      </c>
    </row>
    <row r="79" customFormat="false" ht="15" hidden="false" customHeight="true" outlineLevel="0" collapsed="false">
      <c r="A79" s="104" t="s">
        <v>564</v>
      </c>
      <c r="B79" s="66" t="n">
        <v>2022</v>
      </c>
      <c r="C79" s="67" t="s">
        <v>333</v>
      </c>
      <c r="D79" s="66" t="s">
        <v>561</v>
      </c>
      <c r="E79" s="68" t="n">
        <f aca="false">'💼 LinkedIn_KPIs'!C7</f>
        <v>3232</v>
      </c>
      <c r="F79" s="68" t="n">
        <f aca="false">'💼 LinkedIn_KPIs'!D7</f>
        <v>2814</v>
      </c>
      <c r="G79" s="68" t="n">
        <f aca="false">'💼 LinkedIn_KPIs'!E7</f>
        <v>559</v>
      </c>
      <c r="H79" s="68" t="n">
        <f aca="false">'💼 LinkedIn_KPIs'!F7</f>
        <v>349</v>
      </c>
      <c r="I79" s="68" t="n">
        <f aca="false">'💼 LinkedIn_KPIs'!G7</f>
        <v>29</v>
      </c>
      <c r="J79" s="68" t="n">
        <f aca="false">'💼 LinkedIn_KPIs'!H7</f>
        <v>3</v>
      </c>
      <c r="K79" s="64" t="n">
        <f aca="false">'💼 LinkedIn_KPIs'!I7</f>
        <v>0.172957920792079</v>
      </c>
      <c r="L79" s="64" t="n">
        <f aca="false">'💼 LinkedIn_KPIs'!J7</f>
        <v>0.124022743425729</v>
      </c>
      <c r="M79" s="68" t="str">
        <f aca="false">'💼 LinkedIn_KPIs'!K7</f>
        <v>✗ Por debajo</v>
      </c>
      <c r="N79" s="68" t="str">
        <f aca="false">'💼 LinkedIn_KPIs'!L7</f>
        <v>✓ Cumple</v>
      </c>
    </row>
    <row r="80" customFormat="false" ht="15" hidden="false" customHeight="true" outlineLevel="0" collapsed="false">
      <c r="A80" s="104" t="s">
        <v>565</v>
      </c>
      <c r="B80" s="72" t="n">
        <v>2022</v>
      </c>
      <c r="C80" s="73" t="s">
        <v>65</v>
      </c>
      <c r="D80" s="72" t="s">
        <v>561</v>
      </c>
      <c r="E80" s="68" t="n">
        <f aca="false">'💼 LinkedIn_KPIs'!C8</f>
        <v>3273</v>
      </c>
      <c r="F80" s="68" t="n">
        <f aca="false">'💼 LinkedIn_KPIs'!D8</f>
        <v>4634</v>
      </c>
      <c r="G80" s="68" t="n">
        <f aca="false">'💼 LinkedIn_KPIs'!E8</f>
        <v>718</v>
      </c>
      <c r="H80" s="68" t="n">
        <f aca="false">'💼 LinkedIn_KPIs'!F8</f>
        <v>341</v>
      </c>
      <c r="I80" s="68" t="n">
        <f aca="false">'💼 LinkedIn_KPIs'!G8</f>
        <v>41</v>
      </c>
      <c r="J80" s="68" t="n">
        <f aca="false">'💼 LinkedIn_KPIs'!H8</f>
        <v>4</v>
      </c>
      <c r="K80" s="64" t="n">
        <f aca="false">'💼 LinkedIn_KPIs'!I8</f>
        <v>0.219370608004888</v>
      </c>
      <c r="L80" s="64" t="n">
        <f aca="false">'💼 LinkedIn_KPIs'!J8</f>
        <v>0.0735865343116098</v>
      </c>
      <c r="M80" s="68" t="str">
        <f aca="false">'💼 LinkedIn_KPIs'!K8</f>
        <v>✓ Cumple</v>
      </c>
      <c r="N80" s="68" t="str">
        <f aca="false">'💼 LinkedIn_KPIs'!L8</f>
        <v>✗ Por debajo</v>
      </c>
    </row>
    <row r="81" customFormat="false" ht="15" hidden="false" customHeight="true" outlineLevel="0" collapsed="false">
      <c r="A81" s="104" t="s">
        <v>566</v>
      </c>
      <c r="B81" s="66" t="n">
        <v>2022</v>
      </c>
      <c r="C81" s="67" t="s">
        <v>108</v>
      </c>
      <c r="D81" s="66" t="s">
        <v>561</v>
      </c>
      <c r="E81" s="68" t="n">
        <f aca="false">'💼 LinkedIn_KPIs'!C9</f>
        <v>3304</v>
      </c>
      <c r="F81" s="68" t="n">
        <f aca="false">'💼 LinkedIn_KPIs'!D9</f>
        <v>3752</v>
      </c>
      <c r="G81" s="68" t="n">
        <f aca="false">'💼 LinkedIn_KPIs'!E9</f>
        <v>429</v>
      </c>
      <c r="H81" s="68" t="n">
        <f aca="false">'💼 LinkedIn_KPIs'!F9</f>
        <v>152</v>
      </c>
      <c r="I81" s="68" t="n">
        <f aca="false">'💼 LinkedIn_KPIs'!G9</f>
        <v>32</v>
      </c>
      <c r="J81" s="68" t="n">
        <f aca="false">'💼 LinkedIn_KPIs'!H9</f>
        <v>5</v>
      </c>
      <c r="K81" s="64" t="n">
        <f aca="false">'💼 LinkedIn_KPIs'!I9</f>
        <v>0.129842615012107</v>
      </c>
      <c r="L81" s="64" t="n">
        <f aca="false">'💼 LinkedIn_KPIs'!J9</f>
        <v>0.0405117270788913</v>
      </c>
      <c r="M81" s="68" t="str">
        <f aca="false">'💼 LinkedIn_KPIs'!K9</f>
        <v>✗ Por debajo</v>
      </c>
      <c r="N81" s="68" t="str">
        <f aca="false">'💼 LinkedIn_KPIs'!L9</f>
        <v>✗ Por debajo</v>
      </c>
    </row>
    <row r="82" customFormat="false" ht="15" hidden="false" customHeight="true" outlineLevel="0" collapsed="false">
      <c r="A82" s="104" t="s">
        <v>567</v>
      </c>
      <c r="B82" s="72" t="n">
        <v>2022</v>
      </c>
      <c r="C82" s="73" t="s">
        <v>137</v>
      </c>
      <c r="D82" s="72" t="s">
        <v>561</v>
      </c>
      <c r="E82" s="68" t="n">
        <f aca="false">'💼 LinkedIn_KPIs'!C10</f>
        <v>3314</v>
      </c>
      <c r="F82" s="68" t="n">
        <f aca="false">'💼 LinkedIn_KPIs'!D10</f>
        <v>4884</v>
      </c>
      <c r="G82" s="68" t="n">
        <f aca="false">'💼 LinkedIn_KPIs'!E10</f>
        <v>975</v>
      </c>
      <c r="H82" s="68" t="n">
        <f aca="false">'💼 LinkedIn_KPIs'!F10</f>
        <v>198</v>
      </c>
      <c r="I82" s="68" t="n">
        <f aca="false">'💼 LinkedIn_KPIs'!G10</f>
        <v>26</v>
      </c>
      <c r="J82" s="68" t="n">
        <f aca="false">'💼 LinkedIn_KPIs'!H10</f>
        <v>3</v>
      </c>
      <c r="K82" s="64" t="n">
        <f aca="false">'💼 LinkedIn_KPIs'!I10</f>
        <v>0.294206397103199</v>
      </c>
      <c r="L82" s="64" t="n">
        <f aca="false">'💼 LinkedIn_KPIs'!J10</f>
        <v>0.0405405405405405</v>
      </c>
      <c r="M82" s="68" t="str">
        <f aca="false">'💼 LinkedIn_KPIs'!K10</f>
        <v>✓ Cumple</v>
      </c>
      <c r="N82" s="68" t="str">
        <f aca="false">'💼 LinkedIn_KPIs'!L10</f>
        <v>✗ Por debajo</v>
      </c>
    </row>
    <row r="83" customFormat="false" ht="15" hidden="false" customHeight="true" outlineLevel="0" collapsed="false">
      <c r="A83" s="104" t="s">
        <v>568</v>
      </c>
      <c r="B83" s="66" t="n">
        <v>2022</v>
      </c>
      <c r="C83" s="67" t="s">
        <v>166</v>
      </c>
      <c r="D83" s="66" t="s">
        <v>561</v>
      </c>
      <c r="E83" s="68" t="n">
        <f aca="false">'💼 LinkedIn_KPIs'!C11</f>
        <v>3348</v>
      </c>
      <c r="F83" s="68" t="n">
        <f aca="false">'💼 LinkedIn_KPIs'!D11</f>
        <v>5385</v>
      </c>
      <c r="G83" s="68" t="n">
        <f aca="false">'💼 LinkedIn_KPIs'!E11</f>
        <v>665</v>
      </c>
      <c r="H83" s="68" t="n">
        <f aca="false">'💼 LinkedIn_KPIs'!F11</f>
        <v>367</v>
      </c>
      <c r="I83" s="68" t="n">
        <f aca="false">'💼 LinkedIn_KPIs'!G11</f>
        <v>34</v>
      </c>
      <c r="J83" s="68" t="n">
        <f aca="false">'💼 LinkedIn_KPIs'!H11</f>
        <v>5</v>
      </c>
      <c r="K83" s="64" t="n">
        <f aca="false">'💼 LinkedIn_KPIs'!I11</f>
        <v>0.198626045400239</v>
      </c>
      <c r="L83" s="64" t="n">
        <f aca="false">'💼 LinkedIn_KPIs'!J11</f>
        <v>0.0681522748375116</v>
      </c>
      <c r="M83" s="68" t="str">
        <f aca="false">'💼 LinkedIn_KPIs'!K11</f>
        <v>✓ Cumple</v>
      </c>
      <c r="N83" s="68" t="str">
        <f aca="false">'💼 LinkedIn_KPIs'!L11</f>
        <v>✗ Por debajo</v>
      </c>
    </row>
    <row r="84" customFormat="false" ht="15" hidden="false" customHeight="true" outlineLevel="0" collapsed="false">
      <c r="A84" s="104" t="s">
        <v>569</v>
      </c>
      <c r="B84" s="72" t="n">
        <v>2022</v>
      </c>
      <c r="C84" s="73" t="s">
        <v>334</v>
      </c>
      <c r="D84" s="72" t="s">
        <v>561</v>
      </c>
      <c r="E84" s="68" t="n">
        <f aca="false">'💼 LinkedIn_KPIs'!C12</f>
        <v>3470</v>
      </c>
      <c r="F84" s="68" t="n">
        <f aca="false">'💼 LinkedIn_KPIs'!D12</f>
        <v>5491</v>
      </c>
      <c r="G84" s="68" t="n">
        <f aca="false">'💼 LinkedIn_KPIs'!E12</f>
        <v>743</v>
      </c>
      <c r="H84" s="68" t="n">
        <f aca="false">'💼 LinkedIn_KPIs'!F12</f>
        <v>347</v>
      </c>
      <c r="I84" s="68" t="n">
        <f aca="false">'💼 LinkedIn_KPIs'!G12</f>
        <v>135</v>
      </c>
      <c r="J84" s="68" t="n">
        <f aca="false">'💼 LinkedIn_KPIs'!H12</f>
        <v>4</v>
      </c>
      <c r="K84" s="64" t="n">
        <f aca="false">'💼 LinkedIn_KPIs'!I12</f>
        <v>0.214121037463977</v>
      </c>
      <c r="L84" s="64" t="n">
        <f aca="false">'💼 LinkedIn_KPIs'!J12</f>
        <v>0.063194317974868</v>
      </c>
      <c r="M84" s="68" t="str">
        <f aca="false">'💼 LinkedIn_KPIs'!K12</f>
        <v>✓ Cumple</v>
      </c>
      <c r="N84" s="68" t="str">
        <f aca="false">'💼 LinkedIn_KPIs'!L12</f>
        <v>✗ Por debajo</v>
      </c>
    </row>
    <row r="85" customFormat="false" ht="15" hidden="false" customHeight="true" outlineLevel="0" collapsed="false">
      <c r="A85" s="104" t="s">
        <v>570</v>
      </c>
      <c r="B85" s="66" t="n">
        <v>2022</v>
      </c>
      <c r="C85" s="67" t="s">
        <v>218</v>
      </c>
      <c r="D85" s="66" t="s">
        <v>561</v>
      </c>
      <c r="E85" s="68" t="n">
        <f aca="false">'💼 LinkedIn_KPIs'!C13</f>
        <v>3470</v>
      </c>
      <c r="F85" s="68" t="n">
        <f aca="false">'💼 LinkedIn_KPIs'!D13</f>
        <v>6408</v>
      </c>
      <c r="G85" s="68" t="n">
        <f aca="false">'💼 LinkedIn_KPIs'!E13</f>
        <v>1602</v>
      </c>
      <c r="H85" s="68" t="n">
        <f aca="false">'💼 LinkedIn_KPIs'!F13</f>
        <v>256</v>
      </c>
      <c r="I85" s="68" t="n">
        <f aca="false">'💼 LinkedIn_KPIs'!G13</f>
        <v>31</v>
      </c>
      <c r="J85" s="68" t="n">
        <f aca="false">'💼 LinkedIn_KPIs'!H13</f>
        <v>4</v>
      </c>
      <c r="K85" s="64" t="n">
        <f aca="false">'💼 LinkedIn_KPIs'!I13</f>
        <v>0.461671469740634</v>
      </c>
      <c r="L85" s="64" t="n">
        <f aca="false">'💼 LinkedIn_KPIs'!J13</f>
        <v>0.0399500624219725</v>
      </c>
      <c r="M85" s="68" t="str">
        <f aca="false">'💼 LinkedIn_KPIs'!K13</f>
        <v>✓ Cumple</v>
      </c>
      <c r="N85" s="68" t="str">
        <f aca="false">'💼 LinkedIn_KPIs'!L13</f>
        <v>✗ Por debajo</v>
      </c>
    </row>
    <row r="86" customFormat="false" ht="15" hidden="false" customHeight="true" outlineLevel="0" collapsed="false">
      <c r="A86" s="104" t="s">
        <v>571</v>
      </c>
      <c r="B86" s="72" t="n">
        <v>2022</v>
      </c>
      <c r="C86" s="73" t="s">
        <v>244</v>
      </c>
      <c r="D86" s="72" t="s">
        <v>561</v>
      </c>
      <c r="E86" s="68" t="n">
        <f aca="false">'💼 LinkedIn_KPIs'!C14</f>
        <v>3690</v>
      </c>
      <c r="F86" s="68" t="n">
        <f aca="false">'💼 LinkedIn_KPIs'!D14</f>
        <v>6406</v>
      </c>
      <c r="G86" s="68" t="n">
        <f aca="false">'💼 LinkedIn_KPIs'!E14</f>
        <v>1188</v>
      </c>
      <c r="H86" s="68" t="n">
        <f aca="false">'💼 LinkedIn_KPIs'!F14</f>
        <v>730</v>
      </c>
      <c r="I86" s="68" t="n">
        <f aca="false">'💼 LinkedIn_KPIs'!G14</f>
        <v>112</v>
      </c>
      <c r="J86" s="68" t="n">
        <f aca="false">'💼 LinkedIn_KPIs'!H14</f>
        <v>3</v>
      </c>
      <c r="K86" s="64" t="n">
        <f aca="false">'💼 LinkedIn_KPIs'!I14</f>
        <v>0.321951219512195</v>
      </c>
      <c r="L86" s="64" t="n">
        <f aca="false">'💼 LinkedIn_KPIs'!J14</f>
        <v>0.113955666562598</v>
      </c>
      <c r="M86" s="68" t="str">
        <f aca="false">'💼 LinkedIn_KPIs'!K14</f>
        <v>✓ Cumple</v>
      </c>
      <c r="N86" s="68" t="str">
        <f aca="false">'💼 LinkedIn_KPIs'!L14</f>
        <v>✓ Cumple</v>
      </c>
    </row>
    <row r="87" customFormat="false" ht="15" hidden="false" customHeight="true" outlineLevel="0" collapsed="false">
      <c r="A87" s="104" t="s">
        <v>572</v>
      </c>
      <c r="B87" s="66" t="n">
        <v>2022</v>
      </c>
      <c r="C87" s="67" t="s">
        <v>270</v>
      </c>
      <c r="D87" s="66" t="s">
        <v>561</v>
      </c>
      <c r="E87" s="68" t="n">
        <f aca="false">'💼 LinkedIn_KPIs'!C15</f>
        <v>3690</v>
      </c>
      <c r="F87" s="68" t="n">
        <f aca="false">'💼 LinkedIn_KPIs'!D15</f>
        <v>6406</v>
      </c>
      <c r="G87" s="68" t="n">
        <f aca="false">'💼 LinkedIn_KPIs'!E15</f>
        <v>1188</v>
      </c>
      <c r="H87" s="68" t="n">
        <f aca="false">'💼 LinkedIn_KPIs'!F15</f>
        <v>730</v>
      </c>
      <c r="I87" s="68" t="n">
        <f aca="false">'💼 LinkedIn_KPIs'!G15</f>
        <v>112</v>
      </c>
      <c r="J87" s="68" t="n">
        <f aca="false">'💼 LinkedIn_KPIs'!H15</f>
        <v>2</v>
      </c>
      <c r="K87" s="64" t="n">
        <f aca="false">'💼 LinkedIn_KPIs'!I15</f>
        <v>0.321951219512195</v>
      </c>
      <c r="L87" s="64" t="n">
        <f aca="false">'💼 LinkedIn_KPIs'!J15</f>
        <v>0.113955666562598</v>
      </c>
      <c r="M87" s="68" t="str">
        <f aca="false">'💼 LinkedIn_KPIs'!K15</f>
        <v>✓ Cumple</v>
      </c>
      <c r="N87" s="68" t="str">
        <f aca="false">'💼 LinkedIn_KPIs'!L15</f>
        <v>✓ Cumple</v>
      </c>
    </row>
    <row r="88" customFormat="false" ht="15" hidden="false" customHeight="true" outlineLevel="0" collapsed="false">
      <c r="A88" s="104" t="s">
        <v>573</v>
      </c>
      <c r="B88" s="72" t="n">
        <v>2023</v>
      </c>
      <c r="C88" s="73" t="s">
        <v>330</v>
      </c>
      <c r="D88" s="72" t="s">
        <v>561</v>
      </c>
      <c r="E88" s="68" t="n">
        <f aca="false">'💼 LinkedIn_KPIs'!C16</f>
        <v>3808</v>
      </c>
      <c r="F88" s="68" t="n">
        <f aca="false">'💼 LinkedIn_KPIs'!D16</f>
        <v>4232</v>
      </c>
      <c r="G88" s="68" t="n">
        <f aca="false">'💼 LinkedIn_KPIs'!E16</f>
        <v>904</v>
      </c>
      <c r="H88" s="68" t="n">
        <f aca="false">'💼 LinkedIn_KPIs'!F16</f>
        <v>728</v>
      </c>
      <c r="I88" s="68" t="n">
        <f aca="false">'💼 LinkedIn_KPIs'!G16</f>
        <v>59</v>
      </c>
      <c r="J88" s="68" t="n">
        <f aca="false">'💼 LinkedIn_KPIs'!H16</f>
        <v>2</v>
      </c>
      <c r="K88" s="64" t="n">
        <f aca="false">'💼 LinkedIn_KPIs'!I16</f>
        <v>0.237394957983193</v>
      </c>
      <c r="L88" s="64" t="n">
        <f aca="false">'💼 LinkedIn_KPIs'!J16</f>
        <v>0.172022684310019</v>
      </c>
      <c r="M88" s="68" t="str">
        <f aca="false">'💼 LinkedIn_KPIs'!K16</f>
        <v>✓ Cumple</v>
      </c>
      <c r="N88" s="68" t="str">
        <f aca="false">'💼 LinkedIn_KPIs'!L16</f>
        <v>✓ Cumple</v>
      </c>
    </row>
    <row r="89" customFormat="false" ht="15" hidden="false" customHeight="true" outlineLevel="0" collapsed="false">
      <c r="A89" s="104" t="s">
        <v>574</v>
      </c>
      <c r="B89" s="66" t="n">
        <v>2023</v>
      </c>
      <c r="C89" s="67" t="s">
        <v>331</v>
      </c>
      <c r="D89" s="66" t="s">
        <v>561</v>
      </c>
      <c r="E89" s="68" t="n">
        <f aca="false">'💼 LinkedIn_KPIs'!C17</f>
        <v>3821</v>
      </c>
      <c r="F89" s="68" t="n">
        <f aca="false">'💼 LinkedIn_KPIs'!D17</f>
        <v>7038</v>
      </c>
      <c r="G89" s="68" t="n">
        <f aca="false">'💼 LinkedIn_KPIs'!E17</f>
        <v>981</v>
      </c>
      <c r="H89" s="68" t="n">
        <f aca="false">'💼 LinkedIn_KPIs'!F17</f>
        <v>549</v>
      </c>
      <c r="I89" s="68" t="n">
        <f aca="false">'💼 LinkedIn_KPIs'!G17</f>
        <v>69</v>
      </c>
      <c r="J89" s="68" t="n">
        <f aca="false">'💼 LinkedIn_KPIs'!H17</f>
        <v>4</v>
      </c>
      <c r="K89" s="64" t="n">
        <f aca="false">'💼 LinkedIn_KPIs'!I17</f>
        <v>0.256739073540958</v>
      </c>
      <c r="L89" s="64" t="n">
        <f aca="false">'💼 LinkedIn_KPIs'!J17</f>
        <v>0.0780051150895141</v>
      </c>
      <c r="M89" s="68" t="str">
        <f aca="false">'💼 LinkedIn_KPIs'!K17</f>
        <v>✓ Cumple</v>
      </c>
      <c r="N89" s="68" t="str">
        <f aca="false">'💼 LinkedIn_KPIs'!L17</f>
        <v>✓ Cumple</v>
      </c>
    </row>
    <row r="90" customFormat="false" ht="15" hidden="false" customHeight="true" outlineLevel="0" collapsed="false">
      <c r="A90" s="104" t="s">
        <v>575</v>
      </c>
      <c r="B90" s="72" t="n">
        <v>2023</v>
      </c>
      <c r="C90" s="73" t="s">
        <v>332</v>
      </c>
      <c r="D90" s="72" t="s">
        <v>561</v>
      </c>
      <c r="E90" s="68" t="n">
        <f aca="false">'💼 LinkedIn_KPIs'!C18</f>
        <v>3854</v>
      </c>
      <c r="F90" s="68" t="n">
        <f aca="false">'💼 LinkedIn_KPIs'!D18</f>
        <v>3947</v>
      </c>
      <c r="G90" s="68" t="n">
        <f aca="false">'💼 LinkedIn_KPIs'!E18</f>
        <v>716</v>
      </c>
      <c r="H90" s="68" t="n">
        <f aca="false">'💼 LinkedIn_KPIs'!F18</f>
        <v>221</v>
      </c>
      <c r="I90" s="68" t="n">
        <f aca="false">'💼 LinkedIn_KPIs'!G18</f>
        <v>33</v>
      </c>
      <c r="J90" s="68" t="n">
        <f aca="false">'💼 LinkedIn_KPIs'!H18</f>
        <v>3</v>
      </c>
      <c r="K90" s="64" t="n">
        <f aca="false">'💼 LinkedIn_KPIs'!I18</f>
        <v>0.185781006746238</v>
      </c>
      <c r="L90" s="64" t="n">
        <f aca="false">'💼 LinkedIn_KPIs'!J18</f>
        <v>0.0559918925766405</v>
      </c>
      <c r="M90" s="68" t="str">
        <f aca="false">'💼 LinkedIn_KPIs'!K18</f>
        <v>✓ Cumple</v>
      </c>
      <c r="N90" s="68" t="str">
        <f aca="false">'💼 LinkedIn_KPIs'!L18</f>
        <v>✗ Por debajo</v>
      </c>
    </row>
    <row r="91" customFormat="false" ht="15" hidden="false" customHeight="true" outlineLevel="0" collapsed="false">
      <c r="A91" s="104" t="s">
        <v>576</v>
      </c>
      <c r="B91" s="66" t="n">
        <v>2023</v>
      </c>
      <c r="C91" s="67" t="s">
        <v>333</v>
      </c>
      <c r="D91" s="66" t="s">
        <v>561</v>
      </c>
      <c r="E91" s="68" t="n">
        <f aca="false">'💼 LinkedIn_KPIs'!C19</f>
        <v>3854</v>
      </c>
      <c r="F91" s="68" t="n">
        <f aca="false">'💼 LinkedIn_KPIs'!D19</f>
        <v>3923</v>
      </c>
      <c r="G91" s="68" t="n">
        <f aca="false">'💼 LinkedIn_KPIs'!E19</f>
        <v>556</v>
      </c>
      <c r="H91" s="68" t="n">
        <f aca="false">'💼 LinkedIn_KPIs'!F19</f>
        <v>421</v>
      </c>
      <c r="I91" s="68" t="n">
        <f aca="false">'💼 LinkedIn_KPIs'!G19</f>
        <v>38</v>
      </c>
      <c r="J91" s="68" t="n">
        <f aca="false">'💼 LinkedIn_KPIs'!H19</f>
        <v>3</v>
      </c>
      <c r="K91" s="64" t="n">
        <f aca="false">'💼 LinkedIn_KPIs'!I19</f>
        <v>0.144265697976129</v>
      </c>
      <c r="L91" s="64" t="n">
        <f aca="false">'💼 LinkedIn_KPIs'!J19</f>
        <v>0.107315829722151</v>
      </c>
      <c r="M91" s="68" t="str">
        <f aca="false">'💼 LinkedIn_KPIs'!K19</f>
        <v>✗ Por debajo</v>
      </c>
      <c r="N91" s="68" t="str">
        <f aca="false">'💼 LinkedIn_KPIs'!L19</f>
        <v>✓ Cumple</v>
      </c>
    </row>
    <row r="92" customFormat="false" ht="15" hidden="false" customHeight="true" outlineLevel="0" collapsed="false">
      <c r="A92" s="104" t="s">
        <v>577</v>
      </c>
      <c r="B92" s="72" t="n">
        <v>2023</v>
      </c>
      <c r="C92" s="73" t="s">
        <v>65</v>
      </c>
      <c r="D92" s="72" t="s">
        <v>561</v>
      </c>
      <c r="E92" s="68" t="n">
        <f aca="false">'💼 LinkedIn_KPIs'!C20</f>
        <v>3947</v>
      </c>
      <c r="F92" s="68" t="n">
        <f aca="false">'💼 LinkedIn_KPIs'!D20</f>
        <v>6314</v>
      </c>
      <c r="G92" s="68" t="n">
        <f aca="false">'💼 LinkedIn_KPIs'!E20</f>
        <v>816</v>
      </c>
      <c r="H92" s="68" t="n">
        <f aca="false">'💼 LinkedIn_KPIs'!F20</f>
        <v>1412</v>
      </c>
      <c r="I92" s="68" t="n">
        <f aca="false">'💼 LinkedIn_KPIs'!G20</f>
        <v>51</v>
      </c>
      <c r="J92" s="68" t="n">
        <f aca="false">'💼 LinkedIn_KPIs'!H20</f>
        <v>4</v>
      </c>
      <c r="K92" s="64" t="n">
        <f aca="false">'💼 LinkedIn_KPIs'!I20</f>
        <v>0.206739295667596</v>
      </c>
      <c r="L92" s="64" t="n">
        <f aca="false">'💼 LinkedIn_KPIs'!J20</f>
        <v>0.223630028508077</v>
      </c>
      <c r="M92" s="68" t="str">
        <f aca="false">'💼 LinkedIn_KPIs'!K20</f>
        <v>✓ Cumple</v>
      </c>
      <c r="N92" s="68" t="str">
        <f aca="false">'💼 LinkedIn_KPIs'!L20</f>
        <v>✓ Cumple</v>
      </c>
    </row>
    <row r="93" customFormat="false" ht="15" hidden="false" customHeight="true" outlineLevel="0" collapsed="false">
      <c r="A93" s="104" t="s">
        <v>578</v>
      </c>
      <c r="B93" s="66" t="n">
        <v>2023</v>
      </c>
      <c r="C93" s="67" t="s">
        <v>108</v>
      </c>
      <c r="D93" s="66" t="s">
        <v>561</v>
      </c>
      <c r="E93" s="68" t="n">
        <f aca="false">'💼 LinkedIn_KPIs'!C21</f>
        <v>3990</v>
      </c>
      <c r="F93" s="68" t="n">
        <f aca="false">'💼 LinkedIn_KPIs'!D21</f>
        <v>6444</v>
      </c>
      <c r="G93" s="68" t="n">
        <f aca="false">'💼 LinkedIn_KPIs'!E21</f>
        <v>760</v>
      </c>
      <c r="H93" s="68" t="n">
        <f aca="false">'💼 LinkedIn_KPIs'!F21</f>
        <v>1231</v>
      </c>
      <c r="I93" s="68" t="n">
        <f aca="false">'💼 LinkedIn_KPIs'!G21</f>
        <v>47</v>
      </c>
      <c r="J93" s="68" t="n">
        <f aca="false">'💼 LinkedIn_KPIs'!H21</f>
        <v>4</v>
      </c>
      <c r="K93" s="64" t="n">
        <f aca="false">'💼 LinkedIn_KPIs'!I21</f>
        <v>0.19047619047619</v>
      </c>
      <c r="L93" s="64" t="n">
        <f aca="false">'💼 LinkedIn_KPIs'!J21</f>
        <v>0.191030415890751</v>
      </c>
      <c r="M93" s="68" t="str">
        <f aca="false">'💼 LinkedIn_KPIs'!K21</f>
        <v>✓ Cumple</v>
      </c>
      <c r="N93" s="68" t="str">
        <f aca="false">'💼 LinkedIn_KPIs'!L21</f>
        <v>✓ Cumple</v>
      </c>
    </row>
    <row r="94" customFormat="false" ht="15" hidden="false" customHeight="true" outlineLevel="0" collapsed="false">
      <c r="A94" s="104" t="s">
        <v>579</v>
      </c>
      <c r="B94" s="72" t="n">
        <v>2023</v>
      </c>
      <c r="C94" s="73" t="s">
        <v>137</v>
      </c>
      <c r="D94" s="72" t="s">
        <v>561</v>
      </c>
      <c r="E94" s="68" t="n">
        <f aca="false">'💼 LinkedIn_KPIs'!C22</f>
        <v>3990</v>
      </c>
      <c r="F94" s="68" t="n">
        <f aca="false">'💼 LinkedIn_KPIs'!D22</f>
        <v>6082</v>
      </c>
      <c r="G94" s="68" t="n">
        <f aca="false">'💼 LinkedIn_KPIs'!E22</f>
        <v>746</v>
      </c>
      <c r="H94" s="68" t="n">
        <f aca="false">'💼 LinkedIn_KPIs'!F22</f>
        <v>1163</v>
      </c>
      <c r="I94" s="68" t="n">
        <f aca="false">'💼 LinkedIn_KPIs'!G22</f>
        <v>34</v>
      </c>
      <c r="J94" s="68" t="n">
        <f aca="false">'💼 LinkedIn_KPIs'!H22</f>
        <v>4</v>
      </c>
      <c r="K94" s="64" t="n">
        <f aca="false">'💼 LinkedIn_KPIs'!I22</f>
        <v>0.186967418546366</v>
      </c>
      <c r="L94" s="64" t="n">
        <f aca="false">'💼 LinkedIn_KPIs'!J22</f>
        <v>0.191219993423216</v>
      </c>
      <c r="M94" s="68" t="str">
        <f aca="false">'💼 LinkedIn_KPIs'!K22</f>
        <v>✓ Cumple</v>
      </c>
      <c r="N94" s="68" t="str">
        <f aca="false">'💼 LinkedIn_KPIs'!L22</f>
        <v>✓ Cumple</v>
      </c>
    </row>
    <row r="95" customFormat="false" ht="15" hidden="false" customHeight="true" outlineLevel="0" collapsed="false">
      <c r="A95" s="104" t="s">
        <v>580</v>
      </c>
      <c r="B95" s="66" t="n">
        <v>2023</v>
      </c>
      <c r="C95" s="67" t="s">
        <v>166</v>
      </c>
      <c r="D95" s="66" t="s">
        <v>561</v>
      </c>
      <c r="E95" s="68" t="n">
        <f aca="false">'💼 LinkedIn_KPIs'!C23</f>
        <v>4066</v>
      </c>
      <c r="F95" s="68" t="n">
        <f aca="false">'💼 LinkedIn_KPIs'!D23</f>
        <v>5599</v>
      </c>
      <c r="G95" s="68" t="n">
        <f aca="false">'💼 LinkedIn_KPIs'!E23</f>
        <v>959</v>
      </c>
      <c r="H95" s="68" t="n">
        <f aca="false">'💼 LinkedIn_KPIs'!F23</f>
        <v>856</v>
      </c>
      <c r="I95" s="68" t="n">
        <f aca="false">'💼 LinkedIn_KPIs'!G23</f>
        <v>54</v>
      </c>
      <c r="J95" s="68" t="n">
        <f aca="false">'💼 LinkedIn_KPIs'!H23</f>
        <v>3</v>
      </c>
      <c r="K95" s="64" t="n">
        <f aca="false">'💼 LinkedIn_KPIs'!I23</f>
        <v>0.235858337432366</v>
      </c>
      <c r="L95" s="64" t="n">
        <f aca="false">'💼 LinkedIn_KPIs'!J23</f>
        <v>0.152884443650652</v>
      </c>
      <c r="M95" s="68" t="str">
        <f aca="false">'💼 LinkedIn_KPIs'!K23</f>
        <v>✓ Cumple</v>
      </c>
      <c r="N95" s="68" t="str">
        <f aca="false">'💼 LinkedIn_KPIs'!L23</f>
        <v>✓ Cumple</v>
      </c>
    </row>
    <row r="96" customFormat="false" ht="15" hidden="false" customHeight="true" outlineLevel="0" collapsed="false">
      <c r="A96" s="104" t="s">
        <v>581</v>
      </c>
      <c r="B96" s="72" t="n">
        <v>2023</v>
      </c>
      <c r="C96" s="73" t="s">
        <v>334</v>
      </c>
      <c r="D96" s="72" t="s">
        <v>561</v>
      </c>
      <c r="E96" s="68" t="n">
        <f aca="false">'💼 LinkedIn_KPIs'!C24</f>
        <v>4066</v>
      </c>
      <c r="F96" s="68" t="n">
        <f aca="false">'💼 LinkedIn_KPIs'!D24</f>
        <v>1938</v>
      </c>
      <c r="G96" s="68" t="n">
        <f aca="false">'💼 LinkedIn_KPIs'!E24</f>
        <v>791</v>
      </c>
      <c r="H96" s="68" t="n">
        <f aca="false">'💼 LinkedIn_KPIs'!F24</f>
        <v>273</v>
      </c>
      <c r="I96" s="68" t="n">
        <f aca="false">'💼 LinkedIn_KPIs'!G24</f>
        <v>36</v>
      </c>
      <c r="J96" s="68" t="n">
        <f aca="false">'💼 LinkedIn_KPIs'!H24</f>
        <v>1</v>
      </c>
      <c r="K96" s="64" t="n">
        <f aca="false">'💼 LinkedIn_KPIs'!I24</f>
        <v>0.194540088539105</v>
      </c>
      <c r="L96" s="64" t="n">
        <f aca="false">'💼 LinkedIn_KPIs'!J24</f>
        <v>0.140866873065015</v>
      </c>
      <c r="M96" s="68" t="str">
        <f aca="false">'💼 LinkedIn_KPIs'!K24</f>
        <v>✓ Cumple</v>
      </c>
      <c r="N96" s="68" t="str">
        <f aca="false">'💼 LinkedIn_KPIs'!L24</f>
        <v>✓ Cumple</v>
      </c>
    </row>
    <row r="97" customFormat="false" ht="15" hidden="false" customHeight="true" outlineLevel="0" collapsed="false">
      <c r="A97" s="104" t="s">
        <v>582</v>
      </c>
      <c r="B97" s="66" t="n">
        <v>2023</v>
      </c>
      <c r="C97" s="67" t="s">
        <v>218</v>
      </c>
      <c r="D97" s="66" t="s">
        <v>561</v>
      </c>
      <c r="E97" s="68" t="n">
        <f aca="false">'💼 LinkedIn_KPIs'!C25</f>
        <v>4101</v>
      </c>
      <c r="F97" s="68" t="n">
        <f aca="false">'💼 LinkedIn_KPIs'!D25</f>
        <v>2401</v>
      </c>
      <c r="G97" s="68" t="n">
        <f aca="false">'💼 LinkedIn_KPIs'!E25</f>
        <v>1113</v>
      </c>
      <c r="H97" s="68" t="n">
        <f aca="false">'💼 LinkedIn_KPIs'!F25</f>
        <v>519</v>
      </c>
      <c r="I97" s="68" t="n">
        <f aca="false">'💼 LinkedIn_KPIs'!G25</f>
        <v>51</v>
      </c>
      <c r="J97" s="68" t="n">
        <f aca="false">'💼 LinkedIn_KPIs'!H25</f>
        <v>1</v>
      </c>
      <c r="K97" s="64" t="n">
        <f aca="false">'💼 LinkedIn_KPIs'!I25</f>
        <v>0.271397220190198</v>
      </c>
      <c r="L97" s="64" t="n">
        <f aca="false">'💼 LinkedIn_KPIs'!J25</f>
        <v>0.2161599333611</v>
      </c>
      <c r="M97" s="68" t="str">
        <f aca="false">'💼 LinkedIn_KPIs'!K25</f>
        <v>✓ Cumple</v>
      </c>
      <c r="N97" s="68" t="str">
        <f aca="false">'💼 LinkedIn_KPIs'!L25</f>
        <v>✓ Cumple</v>
      </c>
    </row>
    <row r="98" customFormat="false" ht="15" hidden="false" customHeight="true" outlineLevel="0" collapsed="false">
      <c r="A98" s="104" t="s">
        <v>583</v>
      </c>
      <c r="B98" s="72" t="n">
        <v>2023</v>
      </c>
      <c r="C98" s="73" t="s">
        <v>244</v>
      </c>
      <c r="D98" s="72" t="s">
        <v>561</v>
      </c>
      <c r="E98" s="68" t="n">
        <f aca="false">'💼 LinkedIn_KPIs'!C26</f>
        <v>4101</v>
      </c>
      <c r="F98" s="68" t="n">
        <f aca="false">'💼 LinkedIn_KPIs'!D26</f>
        <v>2741</v>
      </c>
      <c r="G98" s="68" t="n">
        <f aca="false">'💼 LinkedIn_KPIs'!E26</f>
        <v>1125</v>
      </c>
      <c r="H98" s="68" t="n">
        <f aca="false">'💼 LinkedIn_KPIs'!F26</f>
        <v>560</v>
      </c>
      <c r="I98" s="68" t="n">
        <f aca="false">'💼 LinkedIn_KPIs'!G26</f>
        <v>41</v>
      </c>
      <c r="J98" s="68" t="n">
        <f aca="false">'💼 LinkedIn_KPIs'!H26</f>
        <v>1</v>
      </c>
      <c r="K98" s="64" t="n">
        <f aca="false">'💼 LinkedIn_KPIs'!I26</f>
        <v>0.274323335771763</v>
      </c>
      <c r="L98" s="64" t="n">
        <f aca="false">'💼 LinkedIn_KPIs'!J26</f>
        <v>0.204304998175848</v>
      </c>
      <c r="M98" s="68" t="str">
        <f aca="false">'💼 LinkedIn_KPIs'!K26</f>
        <v>✓ Cumple</v>
      </c>
      <c r="N98" s="68" t="str">
        <f aca="false">'💼 LinkedIn_KPIs'!L26</f>
        <v>✓ Cumple</v>
      </c>
    </row>
    <row r="99" customFormat="false" ht="15" hidden="false" customHeight="true" outlineLevel="0" collapsed="false">
      <c r="A99" s="104" t="s">
        <v>584</v>
      </c>
      <c r="B99" s="66" t="n">
        <v>2023</v>
      </c>
      <c r="C99" s="67" t="s">
        <v>270</v>
      </c>
      <c r="D99" s="66" t="s">
        <v>561</v>
      </c>
      <c r="E99" s="68" t="n">
        <f aca="false">'💼 LinkedIn_KPIs'!C27</f>
        <v>4101</v>
      </c>
      <c r="F99" s="68" t="n">
        <f aca="false">'💼 LinkedIn_KPIs'!D27</f>
        <v>3979</v>
      </c>
      <c r="G99" s="68" t="n">
        <f aca="false">'💼 LinkedIn_KPIs'!E27</f>
        <v>942</v>
      </c>
      <c r="H99" s="68" t="n">
        <f aca="false">'💼 LinkedIn_KPIs'!F27</f>
        <v>637</v>
      </c>
      <c r="I99" s="68" t="n">
        <f aca="false">'💼 LinkedIn_KPIs'!G27</f>
        <v>41</v>
      </c>
      <c r="J99" s="68" t="n">
        <f aca="false">'💼 LinkedIn_KPIs'!H27</f>
        <v>1</v>
      </c>
      <c r="K99" s="64" t="n">
        <f aca="false">'💼 LinkedIn_KPIs'!I27</f>
        <v>0.22970007315289</v>
      </c>
      <c r="L99" s="64" t="n">
        <f aca="false">'💼 LinkedIn_KPIs'!J27</f>
        <v>0.160090474993717</v>
      </c>
      <c r="M99" s="68" t="str">
        <f aca="false">'💼 LinkedIn_KPIs'!K27</f>
        <v>✓ Cumple</v>
      </c>
      <c r="N99" s="68" t="str">
        <f aca="false">'💼 LinkedIn_KPIs'!L27</f>
        <v>✓ Cumple</v>
      </c>
    </row>
    <row r="100" customFormat="false" ht="15" hidden="false" customHeight="true" outlineLevel="0" collapsed="false">
      <c r="A100" s="104" t="s">
        <v>585</v>
      </c>
      <c r="B100" s="72" t="n">
        <v>2024</v>
      </c>
      <c r="C100" s="73" t="s">
        <v>330</v>
      </c>
      <c r="D100" s="72" t="s">
        <v>561</v>
      </c>
      <c r="E100" s="68" t="n">
        <f aca="false">'💼 LinkedIn_KPIs'!C28</f>
        <v>3808</v>
      </c>
      <c r="F100" s="68" t="n">
        <f aca="false">'💼 LinkedIn_KPIs'!D28</f>
        <v>3708</v>
      </c>
      <c r="G100" s="68" t="n">
        <f aca="false">'💼 LinkedIn_KPIs'!E28</f>
        <v>1185</v>
      </c>
      <c r="H100" s="68" t="n">
        <f aca="false">'💼 LinkedIn_KPIs'!F28</f>
        <v>525</v>
      </c>
      <c r="I100" s="68" t="n">
        <f aca="false">'💼 LinkedIn_KPIs'!G28</f>
        <v>198</v>
      </c>
      <c r="J100" s="68" t="n">
        <f aca="false">'💼 LinkedIn_KPIs'!H28</f>
        <v>1</v>
      </c>
      <c r="K100" s="64" t="n">
        <f aca="false">'💼 LinkedIn_KPIs'!I28</f>
        <v>0.311186974789916</v>
      </c>
      <c r="L100" s="64" t="n">
        <f aca="false">'💼 LinkedIn_KPIs'!J28</f>
        <v>0.141585760517799</v>
      </c>
      <c r="M100" s="68" t="str">
        <f aca="false">'💼 LinkedIn_KPIs'!K28</f>
        <v>✓ Cumple</v>
      </c>
      <c r="N100" s="68" t="str">
        <f aca="false">'💼 LinkedIn_KPIs'!L28</f>
        <v>✓ Cumple</v>
      </c>
    </row>
    <row r="101" customFormat="false" ht="15" hidden="false" customHeight="true" outlineLevel="0" collapsed="false">
      <c r="A101" s="104" t="s">
        <v>586</v>
      </c>
      <c r="B101" s="66" t="n">
        <v>2024</v>
      </c>
      <c r="C101" s="67" t="s">
        <v>331</v>
      </c>
      <c r="D101" s="66" t="s">
        <v>561</v>
      </c>
      <c r="E101" s="68" t="n">
        <f aca="false">'💼 LinkedIn_KPIs'!C29</f>
        <v>3808</v>
      </c>
      <c r="F101" s="68" t="n">
        <f aca="false">'💼 LinkedIn_KPIs'!D29</f>
        <v>5629</v>
      </c>
      <c r="G101" s="68" t="n">
        <f aca="false">'💼 LinkedIn_KPIs'!E29</f>
        <v>1260</v>
      </c>
      <c r="H101" s="68" t="n">
        <f aca="false">'💼 LinkedIn_KPIs'!F29</f>
        <v>1143</v>
      </c>
      <c r="I101" s="68" t="n">
        <f aca="false">'💼 LinkedIn_KPIs'!G29</f>
        <v>130</v>
      </c>
      <c r="J101" s="68" t="n">
        <f aca="false">'💼 LinkedIn_KPIs'!H29</f>
        <v>1</v>
      </c>
      <c r="K101" s="64" t="n">
        <f aca="false">'💼 LinkedIn_KPIs'!I29</f>
        <v>0.330882352941176</v>
      </c>
      <c r="L101" s="64" t="n">
        <f aca="false">'💼 LinkedIn_KPIs'!J29</f>
        <v>0.20305560490318</v>
      </c>
      <c r="M101" s="68" t="str">
        <f aca="false">'💼 LinkedIn_KPIs'!K29</f>
        <v>✓ Cumple</v>
      </c>
      <c r="N101" s="68" t="str">
        <f aca="false">'💼 LinkedIn_KPIs'!L29</f>
        <v>✓ Cumple</v>
      </c>
    </row>
    <row r="102" customFormat="false" ht="15" hidden="false" customHeight="true" outlineLevel="0" collapsed="false">
      <c r="A102" s="104" t="s">
        <v>587</v>
      </c>
      <c r="B102" s="72" t="n">
        <v>2024</v>
      </c>
      <c r="C102" s="73" t="s">
        <v>332</v>
      </c>
      <c r="D102" s="72" t="s">
        <v>561</v>
      </c>
      <c r="E102" s="68" t="n">
        <f aca="false">'💼 LinkedIn_KPIs'!C30</f>
        <v>3808</v>
      </c>
      <c r="F102" s="68" t="n">
        <f aca="false">'💼 LinkedIn_KPIs'!D30</f>
        <v>3401</v>
      </c>
      <c r="G102" s="68" t="n">
        <f aca="false">'💼 LinkedIn_KPIs'!E30</f>
        <v>1241</v>
      </c>
      <c r="H102" s="68" t="n">
        <f aca="false">'💼 LinkedIn_KPIs'!F30</f>
        <v>411</v>
      </c>
      <c r="I102" s="68" t="n">
        <f aca="false">'💼 LinkedIn_KPIs'!G30</f>
        <v>146</v>
      </c>
      <c r="J102" s="68" t="n">
        <f aca="false">'💼 LinkedIn_KPIs'!H30</f>
        <v>1</v>
      </c>
      <c r="K102" s="64" t="n">
        <f aca="false">'💼 LinkedIn_KPIs'!I30</f>
        <v>0.325892857142857</v>
      </c>
      <c r="L102" s="64" t="n">
        <f aca="false">'💼 LinkedIn_KPIs'!J30</f>
        <v>0.120846809761835</v>
      </c>
      <c r="M102" s="68" t="str">
        <f aca="false">'💼 LinkedIn_KPIs'!K30</f>
        <v>✓ Cumple</v>
      </c>
      <c r="N102" s="68" t="str">
        <f aca="false">'💼 LinkedIn_KPIs'!L30</f>
        <v>✓ Cumple</v>
      </c>
    </row>
    <row r="103" customFormat="false" ht="15" hidden="false" customHeight="true" outlineLevel="0" collapsed="false">
      <c r="A103" s="104" t="s">
        <v>588</v>
      </c>
      <c r="B103" s="66" t="n">
        <v>2024</v>
      </c>
      <c r="C103" s="67" t="s">
        <v>333</v>
      </c>
      <c r="D103" s="66" t="s">
        <v>561</v>
      </c>
      <c r="E103" s="68" t="n">
        <f aca="false">'💼 LinkedIn_KPIs'!C31</f>
        <v>3808</v>
      </c>
      <c r="F103" s="68" t="n">
        <f aca="false">'💼 LinkedIn_KPIs'!D31</f>
        <v>4014</v>
      </c>
      <c r="G103" s="68" t="n">
        <f aca="false">'💼 LinkedIn_KPIs'!E31</f>
        <v>1343</v>
      </c>
      <c r="H103" s="68" t="n">
        <f aca="false">'💼 LinkedIn_KPIs'!F31</f>
        <v>1151</v>
      </c>
      <c r="I103" s="68" t="n">
        <f aca="false">'💼 LinkedIn_KPIs'!G31</f>
        <v>105</v>
      </c>
      <c r="J103" s="68" t="n">
        <f aca="false">'💼 LinkedIn_KPIs'!H31</f>
        <v>1</v>
      </c>
      <c r="K103" s="64" t="n">
        <f aca="false">'💼 LinkedIn_KPIs'!I31</f>
        <v>0.352678571428571</v>
      </c>
      <c r="L103" s="64" t="n">
        <f aca="false">'💼 LinkedIn_KPIs'!J31</f>
        <v>0.286746387643249</v>
      </c>
      <c r="M103" s="68" t="str">
        <f aca="false">'💼 LinkedIn_KPIs'!K31</f>
        <v>✓ Cumple</v>
      </c>
      <c r="N103" s="68" t="str">
        <f aca="false">'💼 LinkedIn_KPIs'!L31</f>
        <v>✓ Cumple</v>
      </c>
    </row>
    <row r="104" customFormat="false" ht="15" hidden="false" customHeight="true" outlineLevel="0" collapsed="false">
      <c r="A104" s="104" t="s">
        <v>589</v>
      </c>
      <c r="B104" s="72" t="n">
        <v>2024</v>
      </c>
      <c r="C104" s="73" t="s">
        <v>65</v>
      </c>
      <c r="D104" s="72" t="s">
        <v>561</v>
      </c>
      <c r="E104" s="68" t="n">
        <f aca="false">'💼 LinkedIn_KPIs'!C32</f>
        <v>4799</v>
      </c>
      <c r="F104" s="68" t="n">
        <f aca="false">'💼 LinkedIn_KPIs'!D32</f>
        <v>5346</v>
      </c>
      <c r="G104" s="68" t="n">
        <f aca="false">'💼 LinkedIn_KPIs'!E32</f>
        <v>1393</v>
      </c>
      <c r="H104" s="68" t="n">
        <f aca="false">'💼 LinkedIn_KPIs'!F32</f>
        <v>1068</v>
      </c>
      <c r="I104" s="68" t="n">
        <f aca="false">'💼 LinkedIn_KPIs'!G32</f>
        <v>95</v>
      </c>
      <c r="J104" s="68" t="n">
        <f aca="false">'💼 LinkedIn_KPIs'!H32</f>
        <v>2</v>
      </c>
      <c r="K104" s="64" t="n">
        <f aca="false">'💼 LinkedIn_KPIs'!I32</f>
        <v>0.29026880600125</v>
      </c>
      <c r="L104" s="64" t="n">
        <f aca="false">'💼 LinkedIn_KPIs'!J32</f>
        <v>0.199775533108866</v>
      </c>
      <c r="M104" s="68" t="str">
        <f aca="false">'💼 LinkedIn_KPIs'!K32</f>
        <v>✓ Cumple</v>
      </c>
      <c r="N104" s="68" t="str">
        <f aca="false">'💼 LinkedIn_KPIs'!L32</f>
        <v>✓ Cumple</v>
      </c>
    </row>
    <row r="105" customFormat="false" ht="15" hidden="false" customHeight="true" outlineLevel="0" collapsed="false">
      <c r="A105" s="104" t="s">
        <v>590</v>
      </c>
      <c r="B105" s="66" t="n">
        <v>2024</v>
      </c>
      <c r="C105" s="67" t="s">
        <v>108</v>
      </c>
      <c r="D105" s="66" t="s">
        <v>561</v>
      </c>
      <c r="E105" s="68" t="n">
        <f aca="false">'💼 LinkedIn_KPIs'!C33</f>
        <v>4922</v>
      </c>
      <c r="F105" s="68" t="n">
        <f aca="false">'💼 LinkedIn_KPIs'!D33</f>
        <v>1686</v>
      </c>
      <c r="G105" s="68" t="n">
        <f aca="false">'💼 LinkedIn_KPIs'!E33</f>
        <v>600</v>
      </c>
      <c r="H105" s="68" t="n">
        <f aca="false">'💼 LinkedIn_KPIs'!F33</f>
        <v>113</v>
      </c>
      <c r="I105" s="68" t="n">
        <f aca="false">'💼 LinkedIn_KPIs'!G33</f>
        <v>123</v>
      </c>
      <c r="J105" s="68" t="n">
        <f aca="false">'💼 LinkedIn_KPIs'!H33</f>
        <v>1</v>
      </c>
      <c r="K105" s="64" t="n">
        <f aca="false">'💼 LinkedIn_KPIs'!I33</f>
        <v>0.121901665989435</v>
      </c>
      <c r="L105" s="64" t="n">
        <f aca="false">'💼 LinkedIn_KPIs'!J33</f>
        <v>0.0670225385527877</v>
      </c>
      <c r="M105" s="68" t="str">
        <f aca="false">'💼 LinkedIn_KPIs'!K33</f>
        <v>✗ Por debajo</v>
      </c>
      <c r="N105" s="68" t="str">
        <f aca="false">'💼 LinkedIn_KPIs'!L33</f>
        <v>✗ Por debajo</v>
      </c>
    </row>
    <row r="106" customFormat="false" ht="15" hidden="false" customHeight="true" outlineLevel="0" collapsed="false">
      <c r="A106" s="104" t="s">
        <v>591</v>
      </c>
      <c r="B106" s="72" t="n">
        <v>2024</v>
      </c>
      <c r="C106" s="73" t="s">
        <v>137</v>
      </c>
      <c r="D106" s="72" t="s">
        <v>561</v>
      </c>
      <c r="E106" s="68" t="n">
        <f aca="false">'💼 LinkedIn_KPIs'!C34</f>
        <v>5049</v>
      </c>
      <c r="F106" s="68" t="n">
        <f aca="false">'💼 LinkedIn_KPIs'!D34</f>
        <v>11711</v>
      </c>
      <c r="G106" s="68" t="n">
        <f aca="false">'💼 LinkedIn_KPIs'!E34</f>
        <v>2271</v>
      </c>
      <c r="H106" s="68" t="n">
        <f aca="false">'💼 LinkedIn_KPIs'!F34</f>
        <v>988</v>
      </c>
      <c r="I106" s="68" t="n">
        <f aca="false">'💼 LinkedIn_KPIs'!G34</f>
        <v>127</v>
      </c>
      <c r="J106" s="68" t="n">
        <f aca="false">'💼 LinkedIn_KPIs'!H34</f>
        <v>3</v>
      </c>
      <c r="K106" s="64" t="n">
        <f aca="false">'💼 LinkedIn_KPIs'!I34</f>
        <v>0.449792038027332</v>
      </c>
      <c r="L106" s="64" t="n">
        <f aca="false">'💼 LinkedIn_KPIs'!J34</f>
        <v>0.0843651268038596</v>
      </c>
      <c r="M106" s="68" t="str">
        <f aca="false">'💼 LinkedIn_KPIs'!K34</f>
        <v>✓ Cumple</v>
      </c>
      <c r="N106" s="68" t="str">
        <f aca="false">'💼 LinkedIn_KPIs'!L34</f>
        <v>✓ Cumple</v>
      </c>
    </row>
    <row r="107" customFormat="false" ht="15" hidden="false" customHeight="true" outlineLevel="0" collapsed="false">
      <c r="A107" s="104" t="s">
        <v>592</v>
      </c>
      <c r="B107" s="66" t="n">
        <v>2024</v>
      </c>
      <c r="C107" s="67" t="s">
        <v>166</v>
      </c>
      <c r="D107" s="66" t="s">
        <v>561</v>
      </c>
      <c r="E107" s="68" t="n">
        <f aca="false">'💼 LinkedIn_KPIs'!C35</f>
        <v>5149</v>
      </c>
      <c r="F107" s="68" t="n">
        <f aca="false">'💼 LinkedIn_KPIs'!D35</f>
        <v>3687</v>
      </c>
      <c r="G107" s="68" t="n">
        <f aca="false">'💼 LinkedIn_KPIs'!E35</f>
        <v>3687</v>
      </c>
      <c r="H107" s="68" t="n">
        <f aca="false">'💼 LinkedIn_KPIs'!F35</f>
        <v>267</v>
      </c>
      <c r="I107" s="68" t="n">
        <f aca="false">'💼 LinkedIn_KPIs'!G35</f>
        <v>100</v>
      </c>
      <c r="J107" s="68" t="n">
        <f aca="false">'💼 LinkedIn_KPIs'!H35</f>
        <v>1</v>
      </c>
      <c r="K107" s="64" t="n">
        <f aca="false">'💼 LinkedIn_KPIs'!I35</f>
        <v>0.716061371140027</v>
      </c>
      <c r="L107" s="64" t="n">
        <f aca="false">'💼 LinkedIn_KPIs'!J35</f>
        <v>0.0724165988608625</v>
      </c>
      <c r="M107" s="68" t="str">
        <f aca="false">'💼 LinkedIn_KPIs'!K35</f>
        <v>✓ Cumple</v>
      </c>
      <c r="N107" s="68" t="str">
        <f aca="false">'💼 LinkedIn_KPIs'!L35</f>
        <v>✗ Por debajo</v>
      </c>
    </row>
    <row r="108" customFormat="false" ht="15" hidden="false" customHeight="true" outlineLevel="0" collapsed="false">
      <c r="A108" s="104" t="s">
        <v>593</v>
      </c>
      <c r="B108" s="72" t="n">
        <v>2024</v>
      </c>
      <c r="C108" s="73" t="s">
        <v>334</v>
      </c>
      <c r="D108" s="72" t="s">
        <v>561</v>
      </c>
      <c r="E108" s="68" t="n">
        <f aca="false">'💼 LinkedIn_KPIs'!C36</f>
        <v>5299</v>
      </c>
      <c r="F108" s="68" t="n">
        <f aca="false">'💼 LinkedIn_KPIs'!D36</f>
        <v>6612</v>
      </c>
      <c r="G108" s="68" t="n">
        <f aca="false">'💼 LinkedIn_KPIs'!E36</f>
        <v>3856</v>
      </c>
      <c r="H108" s="68" t="n">
        <f aca="false">'💼 LinkedIn_KPIs'!F36</f>
        <v>593</v>
      </c>
      <c r="I108" s="68" t="n">
        <f aca="false">'💼 LinkedIn_KPIs'!G36</f>
        <v>150</v>
      </c>
      <c r="J108" s="68" t="n">
        <f aca="false">'💼 LinkedIn_KPIs'!H36</f>
        <v>1</v>
      </c>
      <c r="K108" s="64" t="n">
        <f aca="false">'💼 LinkedIn_KPIs'!I36</f>
        <v>0.727684468767692</v>
      </c>
      <c r="L108" s="64" t="n">
        <f aca="false">'💼 LinkedIn_KPIs'!J36</f>
        <v>0.0896854204476709</v>
      </c>
      <c r="M108" s="68" t="str">
        <f aca="false">'💼 LinkedIn_KPIs'!K36</f>
        <v>✓ Cumple</v>
      </c>
      <c r="N108" s="68" t="str">
        <f aca="false">'💼 LinkedIn_KPIs'!L36</f>
        <v>✓ Cumple</v>
      </c>
    </row>
    <row r="109" customFormat="false" ht="15" hidden="false" customHeight="true" outlineLevel="0" collapsed="false">
      <c r="A109" s="104" t="s">
        <v>594</v>
      </c>
      <c r="B109" s="66" t="n">
        <v>2024</v>
      </c>
      <c r="C109" s="67" t="s">
        <v>218</v>
      </c>
      <c r="D109" s="66" t="s">
        <v>561</v>
      </c>
      <c r="E109" s="68" t="n">
        <f aca="false">'💼 LinkedIn_KPIs'!C37</f>
        <v>5394</v>
      </c>
      <c r="F109" s="68" t="n">
        <f aca="false">'💼 LinkedIn_KPIs'!D37</f>
        <v>3301</v>
      </c>
      <c r="G109" s="68" t="n">
        <f aca="false">'💼 LinkedIn_KPIs'!E37</f>
        <v>1488</v>
      </c>
      <c r="H109" s="68" t="n">
        <f aca="false">'💼 LinkedIn_KPIs'!F37</f>
        <v>225</v>
      </c>
      <c r="I109" s="68" t="n">
        <f aca="false">'💼 LinkedIn_KPIs'!G37</f>
        <v>140</v>
      </c>
      <c r="J109" s="68" t="n">
        <f aca="false">'💼 LinkedIn_KPIs'!H37</f>
        <v>1</v>
      </c>
      <c r="K109" s="64" t="n">
        <f aca="false">'💼 LinkedIn_KPIs'!I37</f>
        <v>0.275862068965517</v>
      </c>
      <c r="L109" s="64" t="n">
        <f aca="false">'💼 LinkedIn_KPIs'!J37</f>
        <v>0.0681611632838534</v>
      </c>
      <c r="M109" s="68" t="str">
        <f aca="false">'💼 LinkedIn_KPIs'!K37</f>
        <v>✓ Cumple</v>
      </c>
      <c r="N109" s="68" t="str">
        <f aca="false">'💼 LinkedIn_KPIs'!L37</f>
        <v>✗ Por debajo</v>
      </c>
    </row>
    <row r="110" customFormat="false" ht="15" hidden="false" customHeight="true" outlineLevel="0" collapsed="false">
      <c r="A110" s="104" t="s">
        <v>595</v>
      </c>
      <c r="B110" s="72" t="n">
        <v>2024</v>
      </c>
      <c r="C110" s="73" t="s">
        <v>244</v>
      </c>
      <c r="D110" s="72" t="s">
        <v>561</v>
      </c>
      <c r="E110" s="68" t="n">
        <f aca="false">'💼 LinkedIn_KPIs'!C38</f>
        <v>5394</v>
      </c>
      <c r="F110" s="68" t="n">
        <f aca="false">'💼 LinkedIn_KPIs'!D38</f>
        <v>960</v>
      </c>
      <c r="G110" s="68" t="n">
        <f aca="false">'💼 LinkedIn_KPIs'!E38</f>
        <v>221</v>
      </c>
      <c r="H110" s="68" t="n">
        <f aca="false">'💼 LinkedIn_KPIs'!F38</f>
        <v>58</v>
      </c>
      <c r="I110" s="68" t="n">
        <f aca="false">'💼 LinkedIn_KPIs'!G38</f>
        <v>72</v>
      </c>
      <c r="J110" s="68" t="n">
        <f aca="false">'💼 LinkedIn_KPIs'!H38</f>
        <v>0</v>
      </c>
      <c r="K110" s="64" t="n">
        <f aca="false">'💼 LinkedIn_KPIs'!I38</f>
        <v>0.0409714497589915</v>
      </c>
      <c r="L110" s="64" t="n">
        <f aca="false">'💼 LinkedIn_KPIs'!J38</f>
        <v>0.0604166666666667</v>
      </c>
      <c r="M110" s="68" t="str">
        <f aca="false">'💼 LinkedIn_KPIs'!K38</f>
        <v>✗ Por debajo</v>
      </c>
      <c r="N110" s="68" t="str">
        <f aca="false">'💼 LinkedIn_KPIs'!L38</f>
        <v>✗ Por debajo</v>
      </c>
    </row>
    <row r="111" customFormat="false" ht="15" hidden="false" customHeight="true" outlineLevel="0" collapsed="false">
      <c r="A111" s="104" t="s">
        <v>596</v>
      </c>
      <c r="B111" s="66" t="n">
        <v>2024</v>
      </c>
      <c r="C111" s="67" t="s">
        <v>270</v>
      </c>
      <c r="D111" s="66" t="s">
        <v>561</v>
      </c>
      <c r="E111" s="68" t="n">
        <f aca="false">'💼 LinkedIn_KPIs'!C39</f>
        <v>5544</v>
      </c>
      <c r="F111" s="68" t="n">
        <f aca="false">'💼 LinkedIn_KPIs'!D39</f>
        <v>1107</v>
      </c>
      <c r="G111" s="68" t="n">
        <f aca="false">'💼 LinkedIn_KPIs'!E39</f>
        <v>324</v>
      </c>
      <c r="H111" s="68" t="n">
        <f aca="false">'💼 LinkedIn_KPIs'!F39</f>
        <v>67</v>
      </c>
      <c r="I111" s="68" t="n">
        <f aca="false">'💼 LinkedIn_KPIs'!G39</f>
        <v>95</v>
      </c>
      <c r="J111" s="68" t="n">
        <f aca="false">'💼 LinkedIn_KPIs'!H39</f>
        <v>1</v>
      </c>
      <c r="K111" s="64" t="n">
        <f aca="false">'💼 LinkedIn_KPIs'!I39</f>
        <v>0.0584415584415584</v>
      </c>
      <c r="L111" s="64" t="n">
        <f aca="false">'💼 LinkedIn_KPIs'!J39</f>
        <v>0.0605239385727191</v>
      </c>
      <c r="M111" s="68" t="str">
        <f aca="false">'💼 LinkedIn_KPIs'!K39</f>
        <v>✗ Por debajo</v>
      </c>
      <c r="N111" s="68" t="str">
        <f aca="false">'💼 LinkedIn_KPIs'!L39</f>
        <v>✗ Por debajo</v>
      </c>
    </row>
    <row r="112" customFormat="false" ht="15" hidden="false" customHeight="true" outlineLevel="0" collapsed="false">
      <c r="A112" s="104" t="s">
        <v>597</v>
      </c>
      <c r="B112" s="72" t="n">
        <v>2025</v>
      </c>
      <c r="C112" s="73" t="s">
        <v>330</v>
      </c>
      <c r="D112" s="72" t="s">
        <v>561</v>
      </c>
      <c r="E112" s="68" t="n">
        <f aca="false">'💼 LinkedIn_KPIs'!C40</f>
        <v>5603</v>
      </c>
      <c r="F112" s="68" t="n">
        <f aca="false">'💼 LinkedIn_KPIs'!D40</f>
        <v>3064</v>
      </c>
      <c r="G112" s="68" t="n">
        <f aca="false">'💼 LinkedIn_KPIs'!E40</f>
        <v>1449</v>
      </c>
      <c r="H112" s="68" t="n">
        <f aca="false">'💼 LinkedIn_KPIs'!F40</f>
        <v>250</v>
      </c>
      <c r="I112" s="68" t="n">
        <f aca="false">'💼 LinkedIn_KPIs'!G40</f>
        <v>59</v>
      </c>
      <c r="J112" s="68" t="n">
        <f aca="false">'💼 LinkedIn_KPIs'!H40</f>
        <v>0</v>
      </c>
      <c r="K112" s="64" t="n">
        <f aca="false">'💼 LinkedIn_KPIs'!I40</f>
        <v>0.258611458147421</v>
      </c>
      <c r="L112" s="64" t="n">
        <f aca="false">'💼 LinkedIn_KPIs'!J40</f>
        <v>0.0815926892950392</v>
      </c>
      <c r="M112" s="68" t="str">
        <f aca="false">'💼 LinkedIn_KPIs'!K40</f>
        <v>✓ Cumple</v>
      </c>
      <c r="N112" s="68" t="str">
        <f aca="false">'💼 LinkedIn_KPIs'!L40</f>
        <v>✓ Cumple</v>
      </c>
    </row>
    <row r="113" customFormat="false" ht="15" hidden="false" customHeight="true" outlineLevel="0" collapsed="false">
      <c r="A113" s="104" t="s">
        <v>598</v>
      </c>
      <c r="B113" s="66" t="n">
        <v>2025</v>
      </c>
      <c r="C113" s="67" t="s">
        <v>331</v>
      </c>
      <c r="D113" s="66" t="s">
        <v>561</v>
      </c>
      <c r="E113" s="68" t="n">
        <f aca="false">'💼 LinkedIn_KPIs'!C41</f>
        <v>5648</v>
      </c>
      <c r="F113" s="68" t="n">
        <f aca="false">'💼 LinkedIn_KPIs'!D41</f>
        <v>944</v>
      </c>
      <c r="G113" s="68" t="n">
        <f aca="false">'💼 LinkedIn_KPIs'!E41</f>
        <v>311</v>
      </c>
      <c r="H113" s="68" t="n">
        <f aca="false">'💼 LinkedIn_KPIs'!F41</f>
        <v>69</v>
      </c>
      <c r="I113" s="68" t="n">
        <f aca="false">'💼 LinkedIn_KPIs'!G41</f>
        <v>45</v>
      </c>
      <c r="J113" s="68" t="n">
        <f aca="false">'💼 LinkedIn_KPIs'!H41</f>
        <v>1</v>
      </c>
      <c r="K113" s="64" t="n">
        <f aca="false">'💼 LinkedIn_KPIs'!I41</f>
        <v>0.0550637393767705</v>
      </c>
      <c r="L113" s="64" t="n">
        <f aca="false">'💼 LinkedIn_KPIs'!J41</f>
        <v>0.0730932203389831</v>
      </c>
      <c r="M113" s="68" t="str">
        <f aca="false">'💼 LinkedIn_KPIs'!K41</f>
        <v>✗ Por debajo</v>
      </c>
      <c r="N113" s="68" t="str">
        <f aca="false">'💼 LinkedIn_KPIs'!L41</f>
        <v>✗ Por debajo</v>
      </c>
    </row>
    <row r="114" customFormat="false" ht="15" hidden="false" customHeight="true" outlineLevel="0" collapsed="false">
      <c r="A114" s="104" t="s">
        <v>599</v>
      </c>
      <c r="B114" s="72" t="n">
        <v>2025</v>
      </c>
      <c r="C114" s="73" t="s">
        <v>332</v>
      </c>
      <c r="D114" s="72" t="s">
        <v>561</v>
      </c>
      <c r="E114" s="68" t="n">
        <f aca="false">'💼 LinkedIn_KPIs'!C42</f>
        <v>5692</v>
      </c>
      <c r="F114" s="68" t="n">
        <f aca="false">'💼 LinkedIn_KPIs'!D42</f>
        <v>2333</v>
      </c>
      <c r="G114" s="68" t="n">
        <f aca="false">'💼 LinkedIn_KPIs'!E42</f>
        <v>1122</v>
      </c>
      <c r="H114" s="68" t="n">
        <f aca="false">'💼 LinkedIn_KPIs'!F42</f>
        <v>199</v>
      </c>
      <c r="I114" s="68" t="n">
        <f aca="false">'💼 LinkedIn_KPIs'!G42</f>
        <v>40</v>
      </c>
      <c r="J114" s="68" t="n">
        <f aca="false">'💼 LinkedIn_KPIs'!H42</f>
        <v>2</v>
      </c>
      <c r="K114" s="64" t="n">
        <f aca="false">'💼 LinkedIn_KPIs'!I42</f>
        <v>0.197118763176388</v>
      </c>
      <c r="L114" s="64" t="n">
        <f aca="false">'💼 LinkedIn_KPIs'!J42</f>
        <v>0.0852978996999571</v>
      </c>
      <c r="M114" s="68" t="str">
        <f aca="false">'💼 LinkedIn_KPIs'!K42</f>
        <v>✓ Cumple</v>
      </c>
      <c r="N114" s="68" t="str">
        <f aca="false">'💼 LinkedIn_KPIs'!L42</f>
        <v>✓ Cumple</v>
      </c>
    </row>
    <row r="115" customFormat="false" ht="15" hidden="false" customHeight="true" outlineLevel="0" collapsed="false">
      <c r="A115" s="104" t="s">
        <v>600</v>
      </c>
      <c r="B115" s="66" t="n">
        <v>2025</v>
      </c>
      <c r="C115" s="67" t="s">
        <v>333</v>
      </c>
      <c r="D115" s="66" t="s">
        <v>561</v>
      </c>
      <c r="E115" s="68" t="n">
        <f aca="false">'💼 LinkedIn_KPIs'!C43</f>
        <v>5711</v>
      </c>
      <c r="F115" s="68" t="n">
        <f aca="false">'💼 LinkedIn_KPIs'!D43</f>
        <v>2169</v>
      </c>
      <c r="G115" s="68" t="n">
        <f aca="false">'💼 LinkedIn_KPIs'!E43</f>
        <v>1184</v>
      </c>
      <c r="H115" s="68" t="n">
        <f aca="false">'💼 LinkedIn_KPIs'!F43</f>
        <v>264</v>
      </c>
      <c r="I115" s="68" t="n">
        <f aca="false">'💼 LinkedIn_KPIs'!G43</f>
        <v>38</v>
      </c>
      <c r="J115" s="68" t="n">
        <f aca="false">'💼 LinkedIn_KPIs'!H43</f>
        <v>2</v>
      </c>
      <c r="K115" s="64" t="n">
        <f aca="false">'💼 LinkedIn_KPIs'!I43</f>
        <v>0.207319208544913</v>
      </c>
      <c r="L115" s="64" t="n">
        <f aca="false">'💼 LinkedIn_KPIs'!J43</f>
        <v>0.121715076071923</v>
      </c>
      <c r="M115" s="68" t="str">
        <f aca="false">'💼 LinkedIn_KPIs'!K43</f>
        <v>✓ Cumple</v>
      </c>
      <c r="N115" s="68" t="str">
        <f aca="false">'💼 LinkedIn_KPIs'!L43</f>
        <v>✓ Cumple</v>
      </c>
    </row>
    <row r="116" customFormat="false" ht="15" hidden="false" customHeight="true" outlineLevel="0" collapsed="false">
      <c r="A116" s="104" t="s">
        <v>601</v>
      </c>
      <c r="B116" s="72" t="n">
        <v>2025</v>
      </c>
      <c r="C116" s="73" t="s">
        <v>65</v>
      </c>
      <c r="D116" s="72" t="s">
        <v>561</v>
      </c>
      <c r="E116" s="68" t="n">
        <f aca="false">'💼 LinkedIn_KPIs'!C44</f>
        <v>5711</v>
      </c>
      <c r="F116" s="68" t="n">
        <f aca="false">'💼 LinkedIn_KPIs'!D44</f>
        <v>5101</v>
      </c>
      <c r="G116" s="68" t="n">
        <f aca="false">'💼 LinkedIn_KPIs'!E44</f>
        <v>2499</v>
      </c>
      <c r="H116" s="68" t="n">
        <f aca="false">'💼 LinkedIn_KPIs'!F44</f>
        <v>776</v>
      </c>
      <c r="I116" s="68" t="n">
        <f aca="false">'💼 LinkedIn_KPIs'!G44</f>
        <v>79</v>
      </c>
      <c r="J116" s="68" t="n">
        <f aca="false">'💼 LinkedIn_KPIs'!H44</f>
        <v>3</v>
      </c>
      <c r="K116" s="64" t="n">
        <f aca="false">'💼 LinkedIn_KPIs'!I44</f>
        <v>0.437576606548766</v>
      </c>
      <c r="L116" s="64" t="n">
        <f aca="false">'💼 LinkedIn_KPIs'!J44</f>
        <v>0.152127033914919</v>
      </c>
      <c r="M116" s="68" t="str">
        <f aca="false">'💼 LinkedIn_KPIs'!K44</f>
        <v>✓ Cumple</v>
      </c>
      <c r="N116" s="68" t="str">
        <f aca="false">'💼 LinkedIn_KPIs'!L44</f>
        <v>✓ Cumple</v>
      </c>
    </row>
    <row r="117" customFormat="false" ht="15" hidden="false" customHeight="true" outlineLevel="0" collapsed="false">
      <c r="A117" s="104" t="s">
        <v>602</v>
      </c>
      <c r="B117" s="66" t="n">
        <v>2025</v>
      </c>
      <c r="C117" s="67" t="s">
        <v>108</v>
      </c>
      <c r="D117" s="66" t="s">
        <v>561</v>
      </c>
      <c r="E117" s="68" t="n">
        <f aca="false">'💼 LinkedIn_KPIs'!C45</f>
        <v>5741</v>
      </c>
      <c r="F117" s="68" t="n">
        <f aca="false">'💼 LinkedIn_KPIs'!D45</f>
        <v>2772</v>
      </c>
      <c r="G117" s="68" t="n">
        <f aca="false">'💼 LinkedIn_KPIs'!E45</f>
        <v>1355</v>
      </c>
      <c r="H117" s="68" t="n">
        <f aca="false">'💼 LinkedIn_KPIs'!F45</f>
        <v>319</v>
      </c>
      <c r="I117" s="68" t="n">
        <f aca="false">'💼 LinkedIn_KPIs'!G45</f>
        <v>30</v>
      </c>
      <c r="J117" s="68" t="n">
        <f aca="false">'💼 LinkedIn_KPIs'!H45</f>
        <v>2</v>
      </c>
      <c r="K117" s="64" t="n">
        <f aca="false">'💼 LinkedIn_KPIs'!I45</f>
        <v>0.23602159902456</v>
      </c>
      <c r="L117" s="64" t="n">
        <f aca="false">'💼 LinkedIn_KPIs'!J45</f>
        <v>0.115079365079365</v>
      </c>
      <c r="M117" s="68" t="str">
        <f aca="false">'💼 LinkedIn_KPIs'!K45</f>
        <v>✓ Cumple</v>
      </c>
      <c r="N117" s="68" t="str">
        <f aca="false">'💼 LinkedIn_KPIs'!L45</f>
        <v>✓ Cumple</v>
      </c>
    </row>
    <row r="118" customFormat="false" ht="15" hidden="false" customHeight="true" outlineLevel="0" collapsed="false">
      <c r="A118" s="104" t="s">
        <v>603</v>
      </c>
      <c r="B118" s="72" t="n">
        <v>2025</v>
      </c>
      <c r="C118" s="73" t="s">
        <v>137</v>
      </c>
      <c r="D118" s="72" t="s">
        <v>561</v>
      </c>
      <c r="E118" s="68" t="n">
        <f aca="false">'💼 LinkedIn_KPIs'!C46</f>
        <v>5849</v>
      </c>
      <c r="F118" s="68" t="n">
        <f aca="false">'💼 LinkedIn_KPIs'!D46</f>
        <v>889</v>
      </c>
      <c r="G118" s="68" t="n">
        <f aca="false">'💼 LinkedIn_KPIs'!E46</f>
        <v>214</v>
      </c>
      <c r="H118" s="68" t="n">
        <f aca="false">'💼 LinkedIn_KPIs'!F46</f>
        <v>43</v>
      </c>
      <c r="I118" s="68" t="n">
        <f aca="false">'💼 LinkedIn_KPIs'!G46</f>
        <v>48</v>
      </c>
      <c r="J118" s="68" t="n">
        <f aca="false">'💼 LinkedIn_KPIs'!H46</f>
        <v>0</v>
      </c>
      <c r="K118" s="64" t="n">
        <f aca="false">'💼 LinkedIn_KPIs'!I46</f>
        <v>0.0365874508462985</v>
      </c>
      <c r="L118" s="64" t="n">
        <f aca="false">'💼 LinkedIn_KPIs'!J46</f>
        <v>0.0483689538807649</v>
      </c>
      <c r="M118" s="68" t="str">
        <f aca="false">'💼 LinkedIn_KPIs'!K46</f>
        <v>✗ Por debajo</v>
      </c>
      <c r="N118" s="68" t="str">
        <f aca="false">'💼 LinkedIn_KPIs'!L46</f>
        <v>✗ Por debajo</v>
      </c>
    </row>
    <row r="119" customFormat="false" ht="15" hidden="false" customHeight="true" outlineLevel="0" collapsed="false">
      <c r="A119" s="104" t="s">
        <v>604</v>
      </c>
      <c r="B119" s="66" t="n">
        <v>2025</v>
      </c>
      <c r="C119" s="67" t="s">
        <v>166</v>
      </c>
      <c r="D119" s="66" t="s">
        <v>561</v>
      </c>
      <c r="E119" s="68" t="n">
        <f aca="false">'💼 LinkedIn_KPIs'!C47</f>
        <v>5940</v>
      </c>
      <c r="F119" s="68" t="n">
        <f aca="false">'💼 LinkedIn_KPIs'!D47</f>
        <v>5382</v>
      </c>
      <c r="G119" s="68" t="n">
        <f aca="false">'💼 LinkedIn_KPIs'!E47</f>
        <v>2438</v>
      </c>
      <c r="H119" s="68" t="n">
        <f aca="false">'💼 LinkedIn_KPIs'!F47</f>
        <v>676</v>
      </c>
      <c r="I119" s="68" t="n">
        <f aca="false">'💼 LinkedIn_KPIs'!G47</f>
        <v>31</v>
      </c>
      <c r="J119" s="68" t="n">
        <f aca="false">'💼 LinkedIn_KPIs'!H47</f>
        <v>1</v>
      </c>
      <c r="K119" s="64" t="n">
        <f aca="false">'💼 LinkedIn_KPIs'!I47</f>
        <v>0.41043771043771</v>
      </c>
      <c r="L119" s="64" t="n">
        <f aca="false">'💼 LinkedIn_KPIs'!J47</f>
        <v>0.1256038647343</v>
      </c>
      <c r="M119" s="68" t="str">
        <f aca="false">'💼 LinkedIn_KPIs'!K47</f>
        <v>✓ Cumple</v>
      </c>
      <c r="N119" s="68" t="str">
        <f aca="false">'💼 LinkedIn_KPIs'!L47</f>
        <v>✓ Cumple</v>
      </c>
    </row>
    <row r="120" customFormat="false" ht="15" hidden="false" customHeight="true" outlineLevel="0" collapsed="false">
      <c r="A120" s="104" t="s">
        <v>605</v>
      </c>
      <c r="B120" s="72" t="n">
        <v>2025</v>
      </c>
      <c r="C120" s="73" t="s">
        <v>334</v>
      </c>
      <c r="D120" s="72" t="s">
        <v>561</v>
      </c>
      <c r="E120" s="68" t="n">
        <f aca="false">'💼 LinkedIn_KPIs'!C48</f>
        <v>6000</v>
      </c>
      <c r="F120" s="68" t="n">
        <f aca="false">'💼 LinkedIn_KPIs'!D48</f>
        <v>1431</v>
      </c>
      <c r="G120" s="68" t="n">
        <f aca="false">'💼 LinkedIn_KPIs'!E48</f>
        <v>400</v>
      </c>
      <c r="H120" s="68" t="n">
        <f aca="false">'💼 LinkedIn_KPIs'!F48</f>
        <v>15</v>
      </c>
      <c r="I120" s="68" t="n">
        <f aca="false">'💼 LinkedIn_KPIs'!G48</f>
        <v>18</v>
      </c>
      <c r="J120" s="68" t="n">
        <f aca="false">'💼 LinkedIn_KPIs'!H48</f>
        <v>1</v>
      </c>
      <c r="K120" s="64" t="n">
        <f aca="false">'💼 LinkedIn_KPIs'!I48</f>
        <v>0.0666666666666667</v>
      </c>
      <c r="L120" s="64" t="n">
        <f aca="false">'💼 LinkedIn_KPIs'!J48</f>
        <v>0.010482180293501</v>
      </c>
      <c r="M120" s="68" t="str">
        <f aca="false">'💼 LinkedIn_KPIs'!K48</f>
        <v>✗ Por debajo</v>
      </c>
      <c r="N120" s="68" t="str">
        <f aca="false">'💼 LinkedIn_KPIs'!L48</f>
        <v>✗ Por debajo</v>
      </c>
    </row>
    <row r="121" customFormat="false" ht="15" hidden="false" customHeight="true" outlineLevel="0" collapsed="false">
      <c r="A121" s="104" t="s">
        <v>606</v>
      </c>
      <c r="B121" s="66" t="n">
        <v>2025</v>
      </c>
      <c r="C121" s="67" t="s">
        <v>218</v>
      </c>
      <c r="D121" s="66" t="s">
        <v>561</v>
      </c>
      <c r="E121" s="68" t="n">
        <f aca="false">'💼 LinkedIn_KPIs'!C49</f>
        <v>6050</v>
      </c>
      <c r="F121" s="68" t="n">
        <f aca="false">'💼 LinkedIn_KPIs'!D49</f>
        <v>599</v>
      </c>
      <c r="G121" s="68" t="n">
        <f aca="false">'💼 LinkedIn_KPIs'!E49</f>
        <v>200</v>
      </c>
      <c r="H121" s="68" t="n">
        <f aca="false">'💼 LinkedIn_KPIs'!F49</f>
        <v>8</v>
      </c>
      <c r="I121" s="68" t="n">
        <f aca="false">'💼 LinkedIn_KPIs'!G49</f>
        <v>12</v>
      </c>
      <c r="J121" s="68" t="n">
        <f aca="false">'💼 LinkedIn_KPIs'!H49</f>
        <v>0</v>
      </c>
      <c r="K121" s="64" t="n">
        <f aca="false">'💼 LinkedIn_KPIs'!I49</f>
        <v>0.0330578512396694</v>
      </c>
      <c r="L121" s="64" t="n">
        <f aca="false">'💼 LinkedIn_KPIs'!J49</f>
        <v>0.013355592654424</v>
      </c>
      <c r="M121" s="68" t="str">
        <f aca="false">'💼 LinkedIn_KPIs'!K49</f>
        <v>✗ Por debajo</v>
      </c>
      <c r="N121" s="68" t="str">
        <f aca="false">'💼 LinkedIn_KPIs'!L49</f>
        <v>✗ Por debajo</v>
      </c>
    </row>
    <row r="122" customFormat="false" ht="15" hidden="false" customHeight="true" outlineLevel="0" collapsed="false">
      <c r="A122" s="104" t="s">
        <v>607</v>
      </c>
      <c r="B122" s="72" t="n">
        <v>2025</v>
      </c>
      <c r="C122" s="73" t="s">
        <v>244</v>
      </c>
      <c r="D122" s="72" t="s">
        <v>561</v>
      </c>
      <c r="E122" s="68" t="n">
        <f aca="false">'💼 LinkedIn_KPIs'!C50</f>
        <v>6100</v>
      </c>
      <c r="F122" s="68" t="n">
        <f aca="false">'💼 LinkedIn_KPIs'!D50</f>
        <v>459</v>
      </c>
      <c r="G122" s="68" t="n">
        <f aca="false">'💼 LinkedIn_KPIs'!E50</f>
        <v>150</v>
      </c>
      <c r="H122" s="68" t="n">
        <f aca="false">'💼 LinkedIn_KPIs'!F50</f>
        <v>3</v>
      </c>
      <c r="I122" s="68" t="n">
        <f aca="false">'💼 LinkedIn_KPIs'!G50</f>
        <v>10</v>
      </c>
      <c r="J122" s="68" t="n">
        <f aca="false">'💼 LinkedIn_KPIs'!H50</f>
        <v>0</v>
      </c>
      <c r="K122" s="64" t="n">
        <f aca="false">'💼 LinkedIn_KPIs'!I50</f>
        <v>0.0245901639344262</v>
      </c>
      <c r="L122" s="64" t="n">
        <f aca="false">'💼 LinkedIn_KPIs'!J50</f>
        <v>0.0065359477124183</v>
      </c>
      <c r="M122" s="68" t="str">
        <f aca="false">'💼 LinkedIn_KPIs'!K50</f>
        <v>✗ Por debajo</v>
      </c>
      <c r="N122" s="68" t="str">
        <f aca="false">'💼 LinkedIn_KPIs'!L50</f>
        <v>✗ Por debajo</v>
      </c>
    </row>
    <row r="123" customFormat="false" ht="15" hidden="false" customHeight="true" outlineLevel="0" collapsed="false">
      <c r="A123" s="104" t="s">
        <v>608</v>
      </c>
      <c r="B123" s="66" t="n">
        <v>2025</v>
      </c>
      <c r="C123" s="67" t="s">
        <v>270</v>
      </c>
      <c r="D123" s="66" t="s">
        <v>561</v>
      </c>
      <c r="E123" s="68" t="n">
        <f aca="false">'💼 LinkedIn_KPIs'!C51</f>
        <v>6163</v>
      </c>
      <c r="F123" s="68" t="n">
        <f aca="false">'💼 LinkedIn_KPIs'!D51</f>
        <v>479</v>
      </c>
      <c r="G123" s="68" t="n">
        <f aca="false">'💼 LinkedIn_KPIs'!E51</f>
        <v>160</v>
      </c>
      <c r="H123" s="68" t="n">
        <f aca="false">'💼 LinkedIn_KPIs'!F51</f>
        <v>3</v>
      </c>
      <c r="I123" s="68" t="n">
        <f aca="false">'💼 LinkedIn_KPIs'!G51</f>
        <v>8</v>
      </c>
      <c r="J123" s="68" t="n">
        <f aca="false">'💼 LinkedIn_KPIs'!H51</f>
        <v>0</v>
      </c>
      <c r="K123" s="64" t="n">
        <f aca="false">'💼 LinkedIn_KPIs'!I51</f>
        <v>0.0259613824436151</v>
      </c>
      <c r="L123" s="64" t="n">
        <f aca="false">'💼 LinkedIn_KPIs'!J51</f>
        <v>0.00626304801670146</v>
      </c>
      <c r="M123" s="68" t="str">
        <f aca="false">'💼 LinkedIn_KPIs'!K51</f>
        <v>✗ Por debajo</v>
      </c>
      <c r="N123" s="68" t="str">
        <f aca="false">'💼 LinkedIn_KPIs'!L51</f>
        <v>✗ Por debajo</v>
      </c>
    </row>
    <row r="124" customFormat="false" ht="15" hidden="false" customHeight="true" outlineLevel="0" collapsed="false">
      <c r="A124" s="104" t="s">
        <v>609</v>
      </c>
      <c r="B124" s="72" t="n">
        <v>2026</v>
      </c>
      <c r="C124" s="73" t="s">
        <v>330</v>
      </c>
      <c r="D124" s="72" t="s">
        <v>561</v>
      </c>
      <c r="E124" s="68" t="n">
        <f aca="false">'💼 LinkedIn_KPIs'!C52</f>
        <v>6114</v>
      </c>
      <c r="F124" s="68" t="n">
        <f aca="false">'💼 LinkedIn_KPIs'!D52</f>
        <v>478</v>
      </c>
      <c r="G124" s="68" t="n">
        <f aca="false">'💼 LinkedIn_KPIs'!E52</f>
        <v>73</v>
      </c>
      <c r="H124" s="68" t="n">
        <f aca="false">'💼 LinkedIn_KPIs'!F52</f>
        <v>38</v>
      </c>
      <c r="I124" s="68" t="n">
        <f aca="false">'💼 LinkedIn_KPIs'!G52</f>
        <v>22</v>
      </c>
      <c r="J124" s="68" t="n">
        <f aca="false">'💼 LinkedIn_KPIs'!H52</f>
        <v>0</v>
      </c>
      <c r="K124" s="64" t="n">
        <f aca="false">'💼 LinkedIn_KPIs'!I52</f>
        <v>0.011939810271508</v>
      </c>
      <c r="L124" s="64" t="n">
        <f aca="false">'💼 LinkedIn_KPIs'!J52</f>
        <v>0.0794979079497908</v>
      </c>
      <c r="M124" s="68" t="str">
        <f aca="false">'💼 LinkedIn_KPIs'!K52</f>
        <v>✗ Por debajo</v>
      </c>
      <c r="N124" s="68" t="str">
        <f aca="false">'💼 LinkedIn_KPIs'!L52</f>
        <v>✓ Cumple</v>
      </c>
    </row>
    <row r="125" customFormat="false" ht="15" hidden="false" customHeight="true" outlineLevel="0" collapsed="false">
      <c r="A125" s="104" t="s">
        <v>610</v>
      </c>
      <c r="B125" s="66" t="n">
        <v>2026</v>
      </c>
      <c r="C125" s="67" t="s">
        <v>331</v>
      </c>
      <c r="D125" s="66" t="s">
        <v>561</v>
      </c>
      <c r="E125" s="68" t="n">
        <f aca="false">'💼 LinkedIn_KPIs'!C53</f>
        <v>6136</v>
      </c>
      <c r="F125" s="68" t="n">
        <f aca="false">'💼 LinkedIn_KPIs'!D53</f>
        <v>461</v>
      </c>
      <c r="G125" s="68" t="n">
        <f aca="false">'💼 LinkedIn_KPIs'!E53</f>
        <v>68</v>
      </c>
      <c r="H125" s="68" t="n">
        <f aca="false">'💼 LinkedIn_KPIs'!F53</f>
        <v>17</v>
      </c>
      <c r="I125" s="68" t="n">
        <f aca="false">'💼 LinkedIn_KPIs'!G53</f>
        <v>22</v>
      </c>
      <c r="J125" s="68" t="n">
        <f aca="false">'💼 LinkedIn_KPIs'!H53</f>
        <v>0</v>
      </c>
      <c r="K125" s="64" t="n">
        <f aca="false">'💼 LinkedIn_KPIs'!I53</f>
        <v>0.0110821382007823</v>
      </c>
      <c r="L125" s="64" t="n">
        <f aca="false">'💼 LinkedIn_KPIs'!J53</f>
        <v>0.0368763557483731</v>
      </c>
      <c r="M125" s="68" t="str">
        <f aca="false">'💼 LinkedIn_KPIs'!K53</f>
        <v>✗ Por debajo</v>
      </c>
      <c r="N125" s="68" t="str">
        <f aca="false">'💼 LinkedIn_KPIs'!L53</f>
        <v>✗ Por debajo</v>
      </c>
    </row>
    <row r="126" customFormat="false" ht="15" hidden="false" customHeight="true" outlineLevel="0" collapsed="false">
      <c r="A126" s="104" t="s">
        <v>611</v>
      </c>
      <c r="B126" s="72" t="n">
        <v>2026</v>
      </c>
      <c r="C126" s="73" t="s">
        <v>332</v>
      </c>
      <c r="D126" s="72" t="s">
        <v>561</v>
      </c>
      <c r="E126" s="68" t="n">
        <f aca="false">'💼 LinkedIn_KPIs'!C54</f>
        <v>6165</v>
      </c>
      <c r="F126" s="68" t="n">
        <f aca="false">'💼 LinkedIn_KPIs'!D54</f>
        <v>619</v>
      </c>
      <c r="G126" s="68" t="n">
        <f aca="false">'💼 LinkedIn_KPIs'!E54</f>
        <v>82</v>
      </c>
      <c r="H126" s="68" t="n">
        <f aca="false">'💼 LinkedIn_KPIs'!F54</f>
        <v>22</v>
      </c>
      <c r="I126" s="68" t="n">
        <f aca="false">'💼 LinkedIn_KPIs'!G54</f>
        <v>29</v>
      </c>
      <c r="J126" s="68" t="n">
        <f aca="false">'💼 LinkedIn_KPIs'!H54</f>
        <v>0</v>
      </c>
      <c r="K126" s="64" t="n">
        <f aca="false">'💼 LinkedIn_KPIs'!I54</f>
        <v>0.0133008921330089</v>
      </c>
      <c r="L126" s="64" t="n">
        <f aca="false">'💼 LinkedIn_KPIs'!J54</f>
        <v>0.0355411954765751</v>
      </c>
      <c r="M126" s="68" t="str">
        <f aca="false">'💼 LinkedIn_KPIs'!K54</f>
        <v>✗ Por debajo</v>
      </c>
      <c r="N126" s="68" t="str">
        <f aca="false">'💼 LinkedIn_KPIs'!L54</f>
        <v>✗ Por debajo</v>
      </c>
    </row>
    <row r="127" customFormat="false" ht="15" hidden="false" customHeight="true" outlineLevel="0" collapsed="false">
      <c r="A127" s="104" t="s">
        <v>612</v>
      </c>
      <c r="B127" s="66" t="n">
        <v>2026</v>
      </c>
      <c r="C127" s="67" t="s">
        <v>333</v>
      </c>
      <c r="D127" s="66" t="s">
        <v>561</v>
      </c>
      <c r="E127" s="68" t="n">
        <f aca="false">'💼 LinkedIn_KPIs'!C55</f>
        <v>6165</v>
      </c>
      <c r="F127" s="68" t="n">
        <f aca="false">'💼 LinkedIn_KPIs'!D55</f>
        <v>2192</v>
      </c>
      <c r="G127" s="68" t="n">
        <f aca="false">'💼 LinkedIn_KPIs'!E55</f>
        <v>975</v>
      </c>
      <c r="H127" s="68" t="n">
        <f aca="false">'💼 LinkedIn_KPIs'!F55</f>
        <v>258</v>
      </c>
      <c r="I127" s="68" t="n">
        <f aca="false">'💼 LinkedIn_KPIs'!G55</f>
        <v>41</v>
      </c>
      <c r="J127" s="68" t="n">
        <f aca="false">'💼 LinkedIn_KPIs'!H55</f>
        <v>1</v>
      </c>
      <c r="K127" s="64" t="n">
        <f aca="false">'💼 LinkedIn_KPIs'!I55</f>
        <v>0.158150851581509</v>
      </c>
      <c r="L127" s="64" t="n">
        <f aca="false">'💼 LinkedIn_KPIs'!J55</f>
        <v>0.117700729927007</v>
      </c>
      <c r="M127" s="68" t="str">
        <f aca="false">'💼 LinkedIn_KPIs'!K55</f>
        <v>✗ Por debajo</v>
      </c>
      <c r="N127" s="68" t="str">
        <f aca="false">'💼 LinkedIn_KPIs'!L55</f>
        <v>✓ Cumple</v>
      </c>
    </row>
    <row r="128" customFormat="false" ht="15" hidden="false" customHeight="true" outlineLevel="0" collapsed="false">
      <c r="A128" s="104" t="s">
        <v>613</v>
      </c>
      <c r="B128" s="72" t="n">
        <v>2026</v>
      </c>
      <c r="C128" s="73" t="s">
        <v>65</v>
      </c>
      <c r="D128" s="72" t="s">
        <v>561</v>
      </c>
      <c r="E128" s="68" t="n">
        <f aca="false">'💼 LinkedIn_KPIs'!C56</f>
        <v>6280</v>
      </c>
      <c r="F128" s="68" t="n">
        <f aca="false">'💼 LinkedIn_KPIs'!D56</f>
        <v>7.219</v>
      </c>
      <c r="G128" s="68" t="n">
        <f aca="false">'💼 LinkedIn_KPIs'!E56</f>
        <v>3223</v>
      </c>
      <c r="H128" s="68" t="n">
        <f aca="false">'💼 LinkedIn_KPIs'!F56</f>
        <v>819</v>
      </c>
      <c r="I128" s="68" t="n">
        <f aca="false">'💼 LinkedIn_KPIs'!G56</f>
        <v>129</v>
      </c>
      <c r="J128" s="68" t="n">
        <f aca="false">'💼 LinkedIn_KPIs'!H56</f>
        <v>2</v>
      </c>
      <c r="K128" s="64" t="n">
        <f aca="false">'💼 LinkedIn_KPIs'!I56</f>
        <v>0.513216560509554</v>
      </c>
      <c r="L128" s="64" t="n">
        <f aca="false">'💼 LinkedIn_KPIs'!J56</f>
        <v>113.450616428868</v>
      </c>
      <c r="M128" s="68" t="str">
        <f aca="false">'💼 LinkedIn_KPIs'!K56</f>
        <v>✓ Cumple</v>
      </c>
      <c r="N128" s="68" t="str">
        <f aca="false">'💼 LinkedIn_KPIs'!L56</f>
        <v>✓ Cumple</v>
      </c>
    </row>
    <row r="129" customFormat="false" ht="15" hidden="false" customHeight="true" outlineLevel="0" collapsed="false">
      <c r="A129" s="104" t="s">
        <v>614</v>
      </c>
      <c r="B129" s="66" t="n">
        <v>2026</v>
      </c>
      <c r="C129" s="67" t="s">
        <v>108</v>
      </c>
      <c r="D129" s="66" t="s">
        <v>561</v>
      </c>
      <c r="E129" s="68" t="n">
        <f aca="false">'💼 LinkedIn_KPIs'!C57</f>
        <v>0</v>
      </c>
      <c r="F129" s="68" t="n">
        <f aca="false">'💼 LinkedIn_KPIs'!D57</f>
        <v>0</v>
      </c>
      <c r="G129" s="68" t="n">
        <f aca="false">'💼 LinkedIn_KPIs'!E57</f>
        <v>0</v>
      </c>
      <c r="H129" s="68" t="n">
        <f aca="false">'💼 LinkedIn_KPIs'!F57</f>
        <v>0</v>
      </c>
      <c r="I129" s="68" t="n">
        <f aca="false">'💼 LinkedIn_KPIs'!G57</f>
        <v>0</v>
      </c>
      <c r="J129" s="68" t="n">
        <f aca="false">'💼 LinkedIn_KPIs'!H57</f>
        <v>0</v>
      </c>
      <c r="K129" s="64" t="str">
        <f aca="false">'💼 LinkedIn_KPIs'!I57</f>
        <v/>
      </c>
      <c r="L129" s="64" t="str">
        <f aca="false">'💼 LinkedIn_KPIs'!J57</f>
        <v/>
      </c>
      <c r="M129" s="68" t="str">
        <f aca="false">'💼 LinkedIn_KPIs'!K57</f>
        <v/>
      </c>
      <c r="N129" s="68" t="str">
        <f aca="false">'💼 LinkedIn_KPIs'!L57</f>
        <v/>
      </c>
    </row>
    <row r="130" customFormat="false" ht="15" hidden="false" customHeight="true" outlineLevel="0" collapsed="false">
      <c r="A130" s="104" t="s">
        <v>615</v>
      </c>
      <c r="B130" s="72" t="n">
        <v>2026</v>
      </c>
      <c r="C130" s="73" t="s">
        <v>137</v>
      </c>
      <c r="D130" s="72" t="s">
        <v>561</v>
      </c>
      <c r="E130" s="68" t="n">
        <f aca="false">'💼 LinkedIn_KPIs'!C58</f>
        <v>0</v>
      </c>
      <c r="F130" s="68" t="n">
        <f aca="false">'💼 LinkedIn_KPIs'!D58</f>
        <v>0</v>
      </c>
      <c r="G130" s="68" t="n">
        <f aca="false">'💼 LinkedIn_KPIs'!E58</f>
        <v>0</v>
      </c>
      <c r="H130" s="68" t="n">
        <f aca="false">'💼 LinkedIn_KPIs'!F58</f>
        <v>0</v>
      </c>
      <c r="I130" s="68" t="n">
        <f aca="false">'💼 LinkedIn_KPIs'!G58</f>
        <v>0</v>
      </c>
      <c r="J130" s="68" t="n">
        <f aca="false">'💼 LinkedIn_KPIs'!H58</f>
        <v>0</v>
      </c>
      <c r="K130" s="64" t="str">
        <f aca="false">'💼 LinkedIn_KPIs'!I58</f>
        <v/>
      </c>
      <c r="L130" s="64" t="str">
        <f aca="false">'💼 LinkedIn_KPIs'!J58</f>
        <v/>
      </c>
      <c r="M130" s="68" t="str">
        <f aca="false">'💼 LinkedIn_KPIs'!K58</f>
        <v/>
      </c>
      <c r="N130" s="68" t="str">
        <f aca="false">'💼 LinkedIn_KPIs'!L58</f>
        <v/>
      </c>
    </row>
    <row r="131" customFormat="false" ht="15" hidden="false" customHeight="true" outlineLevel="0" collapsed="false">
      <c r="A131" s="104" t="s">
        <v>616</v>
      </c>
      <c r="B131" s="66" t="n">
        <v>2026</v>
      </c>
      <c r="C131" s="67" t="s">
        <v>166</v>
      </c>
      <c r="D131" s="66" t="s">
        <v>561</v>
      </c>
      <c r="E131" s="68" t="n">
        <f aca="false">'💼 LinkedIn_KPIs'!C59</f>
        <v>0</v>
      </c>
      <c r="F131" s="68" t="n">
        <f aca="false">'💼 LinkedIn_KPIs'!D59</f>
        <v>0</v>
      </c>
      <c r="G131" s="68" t="n">
        <f aca="false">'💼 LinkedIn_KPIs'!E59</f>
        <v>0</v>
      </c>
      <c r="H131" s="68" t="n">
        <f aca="false">'💼 LinkedIn_KPIs'!F59</f>
        <v>0</v>
      </c>
      <c r="I131" s="68" t="n">
        <f aca="false">'💼 LinkedIn_KPIs'!G59</f>
        <v>0</v>
      </c>
      <c r="J131" s="68" t="n">
        <f aca="false">'💼 LinkedIn_KPIs'!H59</f>
        <v>0</v>
      </c>
      <c r="K131" s="64" t="str">
        <f aca="false">'💼 LinkedIn_KPIs'!I59</f>
        <v/>
      </c>
      <c r="L131" s="64" t="str">
        <f aca="false">'💼 LinkedIn_KPIs'!J59</f>
        <v/>
      </c>
      <c r="M131" s="68" t="str">
        <f aca="false">'💼 LinkedIn_KPIs'!K59</f>
        <v/>
      </c>
      <c r="N131" s="68" t="str">
        <f aca="false">'💼 LinkedIn_KPIs'!L59</f>
        <v/>
      </c>
    </row>
    <row r="132" customFormat="false" ht="15" hidden="false" customHeight="true" outlineLevel="0" collapsed="false">
      <c r="A132" s="104" t="s">
        <v>617</v>
      </c>
      <c r="B132" s="72" t="n">
        <v>2026</v>
      </c>
      <c r="C132" s="73" t="s">
        <v>334</v>
      </c>
      <c r="D132" s="72" t="s">
        <v>561</v>
      </c>
      <c r="E132" s="68" t="n">
        <f aca="false">'💼 LinkedIn_KPIs'!C60</f>
        <v>0</v>
      </c>
      <c r="F132" s="68" t="n">
        <f aca="false">'💼 LinkedIn_KPIs'!D60</f>
        <v>0</v>
      </c>
      <c r="G132" s="68" t="n">
        <f aca="false">'💼 LinkedIn_KPIs'!E60</f>
        <v>0</v>
      </c>
      <c r="H132" s="68" t="n">
        <f aca="false">'💼 LinkedIn_KPIs'!F60</f>
        <v>0</v>
      </c>
      <c r="I132" s="68" t="n">
        <f aca="false">'💼 LinkedIn_KPIs'!G60</f>
        <v>0</v>
      </c>
      <c r="J132" s="68" t="n">
        <f aca="false">'💼 LinkedIn_KPIs'!H60</f>
        <v>0</v>
      </c>
      <c r="K132" s="64" t="str">
        <f aca="false">'💼 LinkedIn_KPIs'!I60</f>
        <v/>
      </c>
      <c r="L132" s="64" t="str">
        <f aca="false">'💼 LinkedIn_KPIs'!J60</f>
        <v/>
      </c>
      <c r="M132" s="68" t="str">
        <f aca="false">'💼 LinkedIn_KPIs'!K60</f>
        <v/>
      </c>
      <c r="N132" s="68" t="str">
        <f aca="false">'💼 LinkedIn_KPIs'!L60</f>
        <v/>
      </c>
    </row>
    <row r="133" customFormat="false" ht="15" hidden="false" customHeight="true" outlineLevel="0" collapsed="false">
      <c r="A133" s="104" t="s">
        <v>618</v>
      </c>
      <c r="B133" s="66" t="n">
        <v>2026</v>
      </c>
      <c r="C133" s="67" t="s">
        <v>218</v>
      </c>
      <c r="D133" s="66" t="s">
        <v>561</v>
      </c>
      <c r="E133" s="68" t="n">
        <f aca="false">'💼 LinkedIn_KPIs'!C61</f>
        <v>0</v>
      </c>
      <c r="F133" s="68" t="n">
        <f aca="false">'💼 LinkedIn_KPIs'!D61</f>
        <v>0</v>
      </c>
      <c r="G133" s="68" t="n">
        <f aca="false">'💼 LinkedIn_KPIs'!E61</f>
        <v>0</v>
      </c>
      <c r="H133" s="68" t="n">
        <f aca="false">'💼 LinkedIn_KPIs'!F61</f>
        <v>0</v>
      </c>
      <c r="I133" s="68" t="n">
        <f aca="false">'💼 LinkedIn_KPIs'!G61</f>
        <v>0</v>
      </c>
      <c r="J133" s="68" t="n">
        <f aca="false">'💼 LinkedIn_KPIs'!H61</f>
        <v>0</v>
      </c>
      <c r="K133" s="64" t="str">
        <f aca="false">'💼 LinkedIn_KPIs'!I61</f>
        <v/>
      </c>
      <c r="L133" s="64" t="str">
        <f aca="false">'💼 LinkedIn_KPIs'!J61</f>
        <v/>
      </c>
      <c r="M133" s="68" t="str">
        <f aca="false">'💼 LinkedIn_KPIs'!K61</f>
        <v/>
      </c>
      <c r="N133" s="68" t="str">
        <f aca="false">'💼 LinkedIn_KPIs'!L61</f>
        <v/>
      </c>
    </row>
    <row r="134" customFormat="false" ht="15" hidden="false" customHeight="true" outlineLevel="0" collapsed="false">
      <c r="A134" s="104" t="s">
        <v>619</v>
      </c>
      <c r="B134" s="72" t="n">
        <v>2026</v>
      </c>
      <c r="C134" s="73" t="s">
        <v>244</v>
      </c>
      <c r="D134" s="72" t="s">
        <v>561</v>
      </c>
      <c r="E134" s="68" t="n">
        <f aca="false">'💼 LinkedIn_KPIs'!C62</f>
        <v>0</v>
      </c>
      <c r="F134" s="68" t="n">
        <f aca="false">'💼 LinkedIn_KPIs'!D62</f>
        <v>0</v>
      </c>
      <c r="G134" s="68" t="n">
        <f aca="false">'💼 LinkedIn_KPIs'!E62</f>
        <v>0</v>
      </c>
      <c r="H134" s="68" t="n">
        <f aca="false">'💼 LinkedIn_KPIs'!F62</f>
        <v>0</v>
      </c>
      <c r="I134" s="68" t="n">
        <f aca="false">'💼 LinkedIn_KPIs'!G62</f>
        <v>0</v>
      </c>
      <c r="J134" s="68" t="n">
        <f aca="false">'💼 LinkedIn_KPIs'!H62</f>
        <v>0</v>
      </c>
      <c r="K134" s="64" t="str">
        <f aca="false">'💼 LinkedIn_KPIs'!I62</f>
        <v/>
      </c>
      <c r="L134" s="64" t="str">
        <f aca="false">'💼 LinkedIn_KPIs'!J62</f>
        <v/>
      </c>
      <c r="M134" s="68" t="str">
        <f aca="false">'💼 LinkedIn_KPIs'!K62</f>
        <v/>
      </c>
      <c r="N134" s="68" t="str">
        <f aca="false">'💼 LinkedIn_KPIs'!L62</f>
        <v/>
      </c>
    </row>
    <row r="135" customFormat="false" ht="15" hidden="false" customHeight="true" outlineLevel="0" collapsed="false">
      <c r="A135" s="104" t="s">
        <v>620</v>
      </c>
      <c r="B135" s="66" t="n">
        <v>2026</v>
      </c>
      <c r="C135" s="67" t="s">
        <v>270</v>
      </c>
      <c r="D135" s="66" t="s">
        <v>561</v>
      </c>
      <c r="E135" s="68" t="n">
        <f aca="false">'💼 LinkedIn_KPIs'!C63</f>
        <v>0</v>
      </c>
      <c r="F135" s="68" t="n">
        <f aca="false">'💼 LinkedIn_KPIs'!D63</f>
        <v>0</v>
      </c>
      <c r="G135" s="68" t="n">
        <f aca="false">'💼 LinkedIn_KPIs'!E63</f>
        <v>0</v>
      </c>
      <c r="H135" s="68" t="n">
        <f aca="false">'💼 LinkedIn_KPIs'!F63</f>
        <v>0</v>
      </c>
      <c r="I135" s="68" t="n">
        <f aca="false">'💼 LinkedIn_KPIs'!G63</f>
        <v>0</v>
      </c>
      <c r="J135" s="68" t="n">
        <f aca="false">'💼 LinkedIn_KPIs'!H63</f>
        <v>0</v>
      </c>
      <c r="K135" s="64" t="str">
        <f aca="false">'💼 LinkedIn_KPIs'!I63</f>
        <v/>
      </c>
      <c r="L135" s="64" t="str">
        <f aca="false">'💼 LinkedIn_KPIs'!J63</f>
        <v/>
      </c>
      <c r="M135" s="68" t="str">
        <f aca="false">'💼 LinkedIn_KPIs'!K63</f>
        <v/>
      </c>
      <c r="N135" s="68" t="str">
        <f aca="false">'💼 LinkedIn_KPIs'!L63</f>
        <v/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2026-06-01T16:01:49Z</dcterms:created>
  <dc:creator>openpyxl</dc:creator>
  <dc:description/>
  <dc:language>en-US</dc:language>
  <cp:lastModifiedBy>Reque, Brian</cp:lastModifiedBy>
  <dcterms:modified xsi:type="dcterms:W3CDTF">2026-06-04T14:36:50Z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